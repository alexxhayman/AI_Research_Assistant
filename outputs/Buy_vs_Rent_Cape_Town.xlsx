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<sst xmlns="http://schemas.openxmlformats.org/spreadsheetml/2006/main" count="122" uniqueCount="116">
  <si>
    <t xml:space="preserve">Buy vs Rent: Cape Town flat</t>
  </si>
  <si>
    <t xml:space="preserve">Net worth if you exited at each point (nominal ZAR, after selling costs and CGT). Change assumptions on the Inputs tab.</t>
  </si>
  <si>
    <t xml:space="preserve">Year</t>
  </si>
  <si>
    <t xml:space="preserve">Buy: net worth</t>
  </si>
  <si>
    <t xml:space="preserve">Rent &amp; invest: net worth</t>
  </si>
  <si>
    <t xml:space="preserve">Buyer ahead / (behind)</t>
  </si>
  <si>
    <t xml:space="preserve">Buy: net worth (today's R)</t>
  </si>
  <si>
    <t xml:space="preserve">Rent: net worth (today's R)</t>
  </si>
  <si>
    <t xml:space="preserve">Monthly owner cost vs rent (that year)</t>
  </si>
  <si>
    <t xml:space="preserve">Key inputs</t>
  </si>
  <si>
    <t xml:space="preserve">Purchase price</t>
  </si>
  <si>
    <t xml:space="preserve">Day-one cash (deposit + costs)</t>
  </si>
  <si>
    <t xml:space="preserve">Monthly bond repayment</t>
  </si>
  <si>
    <t xml:space="preserve">Starting rent</t>
  </si>
  <si>
    <t xml:space="preserve">Property growth p.a.</t>
  </si>
  <si>
    <t xml:space="preserve">Net investment return p.a.</t>
  </si>
  <si>
    <t xml:space="preserve">Rent escalation p.a.</t>
  </si>
  <si>
    <t xml:space="preserve">Share of savings invested</t>
  </si>
  <si>
    <t xml:space="preserve">Break-even year (buyer first ahead)</t>
  </si>
  <si>
    <t xml:space="preserve">Buy vs Rent: Cape Town flat (all amounts in ZAR, nominal)</t>
  </si>
  <si>
    <t xml:space="preserve">Blue = input you can change. Yellow = key assumption. Black = formula. Edit column B only.</t>
  </si>
  <si>
    <t xml:space="preserve">Purchase</t>
  </si>
  <si>
    <t xml:space="preserve">Midpoint of your R4-5m range.</t>
  </si>
  <si>
    <t xml:space="preserve">Deposit (% of price)</t>
  </si>
  <si>
    <t xml:space="preserve">10% is typical for a non-first-time buyer at this price; 100% bonds exist but cost more.</t>
  </si>
  <si>
    <t xml:space="preserve">Deposit</t>
  </si>
  <si>
    <t xml:space="preserve">Formula.</t>
  </si>
  <si>
    <t xml:space="preserve">Bond amount</t>
  </si>
  <si>
    <t xml:space="preserve">Transfer duty</t>
  </si>
  <si>
    <t xml:space="preserve">Formula off SARS table below (rates effective 1 Mar 2025). Check sars.gov.za for any 2026 bracket changes.</t>
  </si>
  <si>
    <t xml:space="preserve">Transfer attorney fees (incl VAT)</t>
  </si>
  <si>
    <t xml:space="preserve">Estimate from conveyancing fee guideline for ~R4.5m. Get a quote.</t>
  </si>
  <si>
    <t xml:space="preserve">Bond registration fees (incl VAT)</t>
  </si>
  <si>
    <t xml:space="preserve">Estimate for ~R4m bond registration attorney + deeds office.</t>
  </si>
  <si>
    <t xml:space="preserve">Bond initiation fee</t>
  </si>
  <si>
    <t xml:space="preserve">NCA maximum (R5,250 + VAT).</t>
  </si>
  <si>
    <t xml:space="preserve">Other (compliance certs, rates clearance, moving)</t>
  </si>
  <si>
    <t xml:space="preserve">Allowance.</t>
  </si>
  <si>
    <t xml:space="preserve">Total cash needed on day one</t>
  </si>
  <si>
    <t xml:space="preserve">Formula. Renter invests this lump instead.</t>
  </si>
  <si>
    <t xml:space="preserve">Bond</t>
  </si>
  <si>
    <t xml:space="preserve">Bond interest rate (p.a.)</t>
  </si>
  <si>
    <t xml:space="preserve">Approx SA prime. Good credit may get prime -0.25% to -0.5%. Update to current prime.</t>
  </si>
  <si>
    <t xml:space="preserve">Bond term (years)</t>
  </si>
  <si>
    <t xml:space="preserve">Standard SA term.</t>
  </si>
  <si>
    <t xml:space="preserve">Ongoing ownership costs (year 1, monthly)</t>
  </si>
  <si>
    <t xml:space="preserve">Levies</t>
  </si>
  <si>
    <t xml:space="preserve">Sectional title flat in a sought-after area; R2.5-5k common. Building insurance usually inside levy.</t>
  </si>
  <si>
    <t xml:space="preserve">Municipal rates</t>
  </si>
  <si>
    <t xml:space="preserve">CoCT: (value - R300k exclusion) x ~0.6% / 12, roughly.</t>
  </si>
  <si>
    <t xml:space="preserve">Extra insurance (bond life cover, homeowner's)</t>
  </si>
  <si>
    <t xml:space="preserve">Only the part a renter would not also pay.</t>
  </si>
  <si>
    <t xml:space="preserve">Maintenance &amp; special levies (% of value p.a.)</t>
  </si>
  <si>
    <t xml:space="preserve">Interior upkeep, appliances, occasional special levy.</t>
  </si>
  <si>
    <t xml:space="preserve">Levy / rates / insurance escalation (p.a.)</t>
  </si>
  <si>
    <t xml:space="preserve">CoCT rates and levies have tended to run above CPI.</t>
  </si>
  <si>
    <t xml:space="preserve">Renting</t>
  </si>
  <si>
    <t xml:space="preserve">Monthly rent (year 1)</t>
  </si>
  <si>
    <t xml:space="preserve">Midpoint of your R22-30k range.</t>
  </si>
  <si>
    <t xml:space="preserve">Rent escalation (p.a.)</t>
  </si>
  <si>
    <t xml:space="preserve">Cape Town rents have run hot recently (TPN/PayProp ~5-8%); 6% assumes some cooling.</t>
  </si>
  <si>
    <t xml:space="preserve">Market returns (conservative)</t>
  </si>
  <si>
    <t xml:space="preserve">Property price growth (p.a., nominal)</t>
  </si>
  <si>
    <t xml:space="preserve">Conservative. Long-run SA nominal house prices ~5%; prime Cape Town has done better recently but that is not guaranteed to persist.</t>
  </si>
  <si>
    <t xml:space="preserve">Investment return, gross (p.a., nominal)</t>
  </si>
  <si>
    <t xml:space="preserve">Conservative for a growth/equity-heavy portfolio: ~CPI 4.5% + 5.5% real.</t>
  </si>
  <si>
    <t xml:space="preserve">Fund / platform fees (p.a.)</t>
  </si>
  <si>
    <t xml:space="preserve">Mix of low-cost ETFs and platform fee.</t>
  </si>
  <si>
    <t xml:space="preserve">Annual tax drag (dividend tax, interest)</t>
  </si>
  <si>
    <t xml:space="preserve">Outside a TFSA.</t>
  </si>
  <si>
    <t xml:space="preserve">CPI inflation (for real values)</t>
  </si>
  <si>
    <t xml:space="preserve">SARB target midpoint.</t>
  </si>
  <si>
    <t xml:space="preserve">Behaviour (the honest bit)</t>
  </si>
  <si>
    <t xml:space="preserve">Share of monthly savings actually invested</t>
  </si>
  <si>
    <t xml:space="preserve">You won't invest 100% of the difference. 25% leaks into lifestyle.</t>
  </si>
  <si>
    <t xml:space="preserve">Behaviour gap (p.a. return lost)</t>
  </si>
  <si>
    <t xml:space="preserve">Selling in drawdowns, buying late. Morningstar 'Mind the Gap' studies find ~1% p.a.</t>
  </si>
  <si>
    <t xml:space="preserve">Net investment return used in model</t>
  </si>
  <si>
    <t xml:space="preserve">Formula = gross - fees - tax drag - behaviour gap.</t>
  </si>
  <si>
    <t xml:space="preserve">Exit and tax (assume sale at each year-end)</t>
  </si>
  <si>
    <t xml:space="preserve">Agent commission + VAT on sale</t>
  </si>
  <si>
    <t xml:space="preserve">5% + VAT. Negotiable.</t>
  </si>
  <si>
    <t xml:space="preserve">Primary residence CGT exclusion</t>
  </si>
  <si>
    <t xml:space="preserve">SARS, current.</t>
  </si>
  <si>
    <t xml:space="preserve">Effective CGT rate</t>
  </si>
  <si>
    <t xml:space="preserve">40% inclusion x 45% top marginal rate. Use 40% x your marginal rate.</t>
  </si>
  <si>
    <t xml:space="preserve">SARS transfer duty table (from 1 Mar 2025)</t>
  </si>
  <si>
    <t xml:space="preserve">Value above</t>
  </si>
  <si>
    <t xml:space="preserve">Base duty</t>
  </si>
  <si>
    <t xml:space="preserve">Rate on excess</t>
  </si>
  <si>
    <t xml:space="preserve">Source: SARS transfer duty rates, sars.gov.za</t>
  </si>
  <si>
    <t xml:space="preserve">Property value</t>
  </si>
  <si>
    <t xml:space="preserve">Bond balance</t>
  </si>
  <si>
    <t xml:space="preserve">Bond payments</t>
  </si>
  <si>
    <t xml:space="preserve">Rates</t>
  </si>
  <si>
    <t xml:space="preserve">Insurance</t>
  </si>
  <si>
    <t xml:space="preserve">Maintenance</t>
  </si>
  <si>
    <t xml:space="preserve">Owner cash cost</t>
  </si>
  <si>
    <t xml:space="preserve">Rent</t>
  </si>
  <si>
    <t xml:space="preserve">Owner cost - rent</t>
  </si>
  <si>
    <t xml:space="preserve">Renter: invested</t>
  </si>
  <si>
    <t xml:space="preserve">Renter portfolio</t>
  </si>
  <si>
    <t xml:space="preserve">Renter cost basis</t>
  </si>
  <si>
    <t xml:space="preserve">Buyer: invested</t>
  </si>
  <si>
    <t xml:space="preserve">Buyer portfolio</t>
  </si>
  <si>
    <t xml:space="preserve">Buyer cost basis</t>
  </si>
  <si>
    <t xml:space="preserve">BUYER net worth</t>
  </si>
  <si>
    <t xml:space="preserve">RENTER net worth</t>
  </si>
  <si>
    <t xml:space="preserve">Buyer minus renter</t>
  </si>
  <si>
    <t xml:space="preserve">Buyer NW (today's R)</t>
  </si>
  <si>
    <t xml:space="preserve">Renter NW (today's R)</t>
  </si>
  <si>
    <t xml:space="preserve">Notes</t>
  </si>
  <si>
    <t xml:space="preserve">Net worth = what you'd walk away with if you sold/liquidated at that year-end, after agent fees, bond settlement and CGT.</t>
  </si>
  <si>
    <t xml:space="preserve">Renter invests the day-one cash (deposit + fees) in full, then only the 'disc' share of each year's monthly saving.</t>
  </si>
  <si>
    <t xml:space="preserve">Once rent overtakes the owner's costs, the renter funds the full shortfall from the portfolio, and the owner invests the disciplined share of their saving.</t>
  </si>
  <si>
    <t xml:space="preserve">Contributions assumed mid-year. Cost basis is a simplification (net contributions). Both sides held outside a TFSA.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</si>
</sst>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R#,##0;&quot;(R&quot;#,##0\);\-"/>
    <numFmt numFmtId="166" formatCode="0.0%;\(0.0%\);\-"/>
    <numFmt numFmtId="167" formatCode="\R#,##0,,\m"/>
    <numFmt numFmtId="168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worth on exit (nominal 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Model!R1</c:f>
              <c:strCache>
                <c:ptCount val="1"/>
                <c:pt idx="0">
                  <c:v>BUYER net worth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Model!$A$2:$A$27</c:f>
              <c:strCach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strCache>
            </c:strRef>
          </c:cat>
          <c:val>
            <c:numRef>
              <c:f>Model!$R$2:$R$27</c:f>
              <c:numCache>
                <c:formatCode>\R#,##0;"(R"#,##0\);\-</c:formatCode>
                <c:ptCount val="26"/>
                <c:pt idx="0">
                  <c:v>191250</c:v>
                </c:pt>
                <c:pt idx="1">
                  <c:v>466246.673148111</c:v>
                </c:pt>
                <c:pt idx="2">
                  <c:v>758782.034328477</c:v>
                </c:pt>
                <c:pt idx="3">
                  <c:v>1070150.56276808</c:v>
                </c:pt>
                <c:pt idx="4">
                  <c:v>1401757.47653571</c:v>
                </c:pt>
                <c:pt idx="5">
                  <c:v>1755129.34048271</c:v>
                </c:pt>
                <c:pt idx="6">
                  <c:v>2131925.76342216</c:v>
                </c:pt>
                <c:pt idx="7">
                  <c:v>2533952.300595</c:v>
                </c:pt>
                <c:pt idx="8">
                  <c:v>2963174.69006041</c:v>
                </c:pt>
                <c:pt idx="9">
                  <c:v>3421734.56561516</c:v>
                </c:pt>
                <c:pt idx="10">
                  <c:v>3897892.00389426</c:v>
                </c:pt>
                <c:pt idx="11">
                  <c:v>4360166.93960833</c:v>
                </c:pt>
                <c:pt idx="12">
                  <c:v>4856333.50948254</c:v>
                </c:pt>
                <c:pt idx="13">
                  <c:v>5389274.05560212</c:v>
                </c:pt>
                <c:pt idx="14">
                  <c:v>5962145.93244849</c:v>
                </c:pt>
                <c:pt idx="15">
                  <c:v>6582631.39844278</c:v>
                </c:pt>
                <c:pt idx="16">
                  <c:v>7272376.66912875</c:v>
                </c:pt>
                <c:pt idx="17">
                  <c:v>8038203.58167651</c:v>
                </c:pt>
                <c:pt idx="18">
                  <c:v>8887599.9585631</c:v>
                </c:pt>
                <c:pt idx="19">
                  <c:v>9828784.8360684</c:v>
                </c:pt>
                <c:pt idx="20">
                  <c:v>10870780.1541459</c:v>
                </c:pt>
                <c:pt idx="21">
                  <c:v>11889560.2077326</c:v>
                </c:pt>
                <c:pt idx="22">
                  <c:v>12997970.6788673</c:v>
                </c:pt>
                <c:pt idx="23">
                  <c:v>14203647.2672151</c:v>
                </c:pt>
                <c:pt idx="24">
                  <c:v>15514859.4303046</c:v>
                </c:pt>
                <c:pt idx="25">
                  <c:v>16940561.9261636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Model!S1</c:f>
              <c:strCache>
                <c:ptCount val="1"/>
                <c:pt idx="0">
                  <c:v>RENTER net worth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Model!$A$2:$A$27</c:f>
              <c:strCach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strCache>
            </c:strRef>
          </c:cat>
          <c:val>
            <c:numRef>
              <c:f>Model!$S$2:$S$27</c:f>
              <c:numCache>
                <c:formatCode>\R#,##0;"(R"#,##0\);\-</c:formatCode>
                <c:ptCount val="26"/>
                <c:pt idx="0">
                  <c:v>848394</c:v>
                </c:pt>
                <c:pt idx="1">
                  <c:v>1105101.0744721</c:v>
                </c:pt>
                <c:pt idx="2">
                  <c:v>1369038.8542117</c:v>
                </c:pt>
                <c:pt idx="3">
                  <c:v>1640332.79926112</c:v>
                </c:pt>
                <c:pt idx="4">
                  <c:v>1919093.54192227</c:v>
                </c:pt>
                <c:pt idx="5">
                  <c:v>2205414.37860174</c:v>
                </c:pt>
                <c:pt idx="6">
                  <c:v>2499368.49400676</c:v>
                </c:pt>
                <c:pt idx="7">
                  <c:v>2801005.89314631</c:v>
                </c:pt>
                <c:pt idx="8">
                  <c:v>3110350.01450326</c:v>
                </c:pt>
                <c:pt idx="9">
                  <c:v>3427393.99548501</c:v>
                </c:pt>
                <c:pt idx="10">
                  <c:v>3752096.55881845</c:v>
                </c:pt>
                <c:pt idx="11">
                  <c:v>4084377.48591498</c:v>
                </c:pt>
                <c:pt idx="12">
                  <c:v>4424112.64037826</c:v>
                </c:pt>
                <c:pt idx="13">
                  <c:v>4771128.501743</c:v>
                </c:pt>
                <c:pt idx="14">
                  <c:v>5125196.16620118</c:v>
                </c:pt>
                <c:pt idx="15">
                  <c:v>5484617.52886721</c:v>
                </c:pt>
                <c:pt idx="16">
                  <c:v>5843082.11439971</c:v>
                </c:pt>
                <c:pt idx="17">
                  <c:v>6199266.7928546</c:v>
                </c:pt>
                <c:pt idx="18">
                  <c:v>6551676.4122355</c:v>
                </c:pt>
                <c:pt idx="19">
                  <c:v>6898626.69486865</c:v>
                </c:pt>
                <c:pt idx="20">
                  <c:v>7238225.61039862</c:v>
                </c:pt>
                <c:pt idx="21">
                  <c:v>7067914.70097689</c:v>
                </c:pt>
                <c:pt idx="22">
                  <c:v>6853540.39329206</c:v>
                </c:pt>
                <c:pt idx="23">
                  <c:v>6624590.64719421</c:v>
                </c:pt>
                <c:pt idx="24">
                  <c:v>6451880.56641936</c:v>
                </c:pt>
                <c:pt idx="25">
                  <c:v>6226408.78156159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370340"/>
        <c:axId val="45776496"/>
      </c:lineChart>
      <c:catAx>
        <c:axId val="443703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76496"/>
        <c:crosses val="autoZero"/>
        <c:auto val="1"/>
        <c:lblAlgn val="ctr"/>
        <c:lblOffset val="100"/>
        <c:noMultiLvlLbl val="0"/>
      </c:catAx>
      <c:valAx>
        <c:axId val="457764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R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703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160560</xdr:rowOff>
    </xdr:from>
    <xdr:to>
      <xdr:col>5</xdr:col>
      <xdr:colOff>291960</xdr:colOff>
      <xdr:row>40</xdr:row>
      <xdr:rowOff>161640</xdr:rowOff>
    </xdr:to>
    <xdr:graphicFrame>
      <xdr:nvGraphicFramePr>
        <xdr:cNvPr id="0" name="Chart 1"/>
        <xdr:cNvGraphicFramePr/>
      </xdr:nvGraphicFramePr>
      <xdr:xfrm>
        <a:off x="0" y="457200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</v>
      </c>
      <c r="C4" s="4" t="n">
        <v>5</v>
      </c>
      <c r="D4" s="4" t="n">
        <v>10</v>
      </c>
      <c r="E4" s="4" t="n">
        <v>15</v>
      </c>
      <c r="F4" s="4" t="n">
        <v>20</v>
      </c>
      <c r="G4" s="4" t="n">
        <v>25</v>
      </c>
    </row>
    <row r="5" customFormat="false" ht="15" hidden="false" customHeight="false" outlineLevel="0" collapsed="false">
      <c r="A5" s="5" t="s">
        <v>3</v>
      </c>
      <c r="B5" s="6" t="n">
        <f aca="false">INDEX(Model!$R$2:$R$27,1+1)</f>
        <v>466246.673148111</v>
      </c>
      <c r="C5" s="6" t="n">
        <f aca="false">INDEX(Model!$R$2:$R$27,5+1)</f>
        <v>1755129.34048271</v>
      </c>
      <c r="D5" s="6" t="n">
        <f aca="false">INDEX(Model!$R$2:$R$27,10+1)</f>
        <v>3897892.00389426</v>
      </c>
      <c r="E5" s="6" t="n">
        <f aca="false">INDEX(Model!$R$2:$R$27,15+1)</f>
        <v>6582631.39844278</v>
      </c>
      <c r="F5" s="6" t="n">
        <f aca="false">INDEX(Model!$R$2:$R$27,20+1)</f>
        <v>10870780.1541459</v>
      </c>
      <c r="G5" s="6" t="n">
        <f aca="false">INDEX(Model!$R$2:$R$27,25+1)</f>
        <v>16940561.9261636</v>
      </c>
    </row>
    <row r="6" customFormat="false" ht="15" hidden="false" customHeight="false" outlineLevel="0" collapsed="false">
      <c r="A6" s="5" t="s">
        <v>4</v>
      </c>
      <c r="B6" s="6" t="n">
        <f aca="false">INDEX(Model!$S$2:$S$27,1+1)</f>
        <v>1105101.0744721</v>
      </c>
      <c r="C6" s="6" t="n">
        <f aca="false">INDEX(Model!$S$2:$S$27,5+1)</f>
        <v>2205414.37860174</v>
      </c>
      <c r="D6" s="6" t="n">
        <f aca="false">INDEX(Model!$S$2:$S$27,10+1)</f>
        <v>3752096.55881845</v>
      </c>
      <c r="E6" s="6" t="n">
        <f aca="false">INDEX(Model!$S$2:$S$27,15+1)</f>
        <v>5484617.52886721</v>
      </c>
      <c r="F6" s="6" t="n">
        <f aca="false">INDEX(Model!$S$2:$S$27,20+1)</f>
        <v>7238225.61039862</v>
      </c>
      <c r="G6" s="6" t="n">
        <f aca="false">INDEX(Model!$S$2:$S$27,25+1)</f>
        <v>6226408.78156159</v>
      </c>
    </row>
    <row r="7" customFormat="false" ht="15" hidden="false" customHeight="false" outlineLevel="0" collapsed="false">
      <c r="A7" s="7" t="s">
        <v>5</v>
      </c>
      <c r="B7" s="8" t="n">
        <f aca="false">INDEX(Model!$T$2:$T$27,1+1)</f>
        <v>-638854.401323989</v>
      </c>
      <c r="C7" s="8" t="n">
        <f aca="false">INDEX(Model!$T$2:$T$27,5+1)</f>
        <v>-450285.038119031</v>
      </c>
      <c r="D7" s="8" t="n">
        <f aca="false">INDEX(Model!$T$2:$T$27,10+1)</f>
        <v>145795.44507581</v>
      </c>
      <c r="E7" s="8" t="n">
        <f aca="false">INDEX(Model!$T$2:$T$27,15+1)</f>
        <v>1098013.86957557</v>
      </c>
      <c r="F7" s="8" t="n">
        <f aca="false">INDEX(Model!$T$2:$T$27,20+1)</f>
        <v>3632554.54374725</v>
      </c>
      <c r="G7" s="8" t="n">
        <f aca="false">INDEX(Model!$T$2:$T$27,25+1)</f>
        <v>10714153.1446021</v>
      </c>
    </row>
    <row r="8" customFormat="false" ht="15" hidden="false" customHeight="false" outlineLevel="0" collapsed="false">
      <c r="A8" s="5" t="s">
        <v>6</v>
      </c>
      <c r="B8" s="6" t="n">
        <f aca="false">INDEX(Model!$U$2:$U$27,1+1)</f>
        <v>446169.065213503</v>
      </c>
      <c r="C8" s="6" t="n">
        <f aca="false">INDEX(Model!$U$2:$U$27,5+1)</f>
        <v>1408405.37601441</v>
      </c>
      <c r="D8" s="6" t="n">
        <f aca="false">INDEX(Model!$U$2:$U$27,10+1)</f>
        <v>2509960.56287107</v>
      </c>
      <c r="E8" s="6" t="n">
        <f aca="false">INDEX(Model!$U$2:$U$27,15+1)</f>
        <v>3401380.20780501</v>
      </c>
      <c r="F8" s="6" t="n">
        <f aca="false">INDEX(Model!$U$2:$U$27,20+1)</f>
        <v>4507491.37011747</v>
      </c>
      <c r="G8" s="6" t="n">
        <f aca="false">INDEX(Model!$U$2:$U$27,25+1)</f>
        <v>5636643.27775186</v>
      </c>
    </row>
    <row r="9" customFormat="false" ht="15" hidden="false" customHeight="false" outlineLevel="0" collapsed="false">
      <c r="A9" s="5" t="s">
        <v>7</v>
      </c>
      <c r="B9" s="6" t="n">
        <f aca="false">INDEX(Model!$V$2:$V$27,1+1)</f>
        <v>1057512.98992545</v>
      </c>
      <c r="C9" s="6" t="n">
        <f aca="false">INDEX(Model!$V$2:$V$27,5+1)</f>
        <v>1769737.07607662</v>
      </c>
      <c r="D9" s="6" t="n">
        <f aca="false">INDEX(Model!$V$2:$V$27,10+1)</f>
        <v>2416078.83987286</v>
      </c>
      <c r="E9" s="6" t="n">
        <f aca="false">INDEX(Model!$V$2:$V$27,15+1)</f>
        <v>2834013.99544908</v>
      </c>
      <c r="F9" s="6" t="n">
        <f aca="false">INDEX(Model!$V$2:$V$27,20+1)</f>
        <v>3001278.56613788</v>
      </c>
      <c r="G9" s="6" t="n">
        <f aca="false">INDEX(Model!$V$2:$V$27,25+1)</f>
        <v>2071716.70904969</v>
      </c>
    </row>
    <row r="10" customFormat="false" ht="15" hidden="false" customHeight="false" outlineLevel="0" collapsed="false">
      <c r="A10" s="5" t="s">
        <v>8</v>
      </c>
      <c r="B10" s="6" t="n">
        <f aca="false">INDEX(Model!$K$2:$K$27,1+1)/12</f>
        <v>21809.3854222646</v>
      </c>
      <c r="C10" s="6" t="n">
        <f aca="false">INDEX(Model!$K$2:$K$27,5+1)/12</f>
        <v>17098.4367360146</v>
      </c>
      <c r="D10" s="6" t="n">
        <f aca="false">INDEX(Model!$K$2:$K$27,10+1)/12</f>
        <v>9528.19856146512</v>
      </c>
      <c r="E10" s="6" t="n">
        <f aca="false">INDEX(Model!$K$2:$K$27,15+1)/12</f>
        <v>-454.807852294791</v>
      </c>
      <c r="F10" s="6" t="n">
        <f aca="false">INDEX(Model!$K$2:$K$27,20+1)/12</f>
        <v>-13602.2685729975</v>
      </c>
      <c r="G10" s="6" t="n">
        <f aca="false">INDEX(Model!$K$2:$K$27,25+1)/12</f>
        <v>-71327.2200348679</v>
      </c>
    </row>
    <row r="12" customFormat="false" ht="15" hidden="false" customHeight="false" outlineLevel="0" collapsed="false">
      <c r="A12" s="7" t="s">
        <v>9</v>
      </c>
    </row>
    <row r="13" customFormat="false" ht="15" hidden="false" customHeight="false" outlineLevel="0" collapsed="false">
      <c r="A13" s="5" t="s">
        <v>10</v>
      </c>
      <c r="B13" s="6" t="n">
        <f aca="false">Inputs!$B$6</f>
        <v>4500000</v>
      </c>
    </row>
    <row r="14" customFormat="false" ht="15" hidden="false" customHeight="false" outlineLevel="0" collapsed="false">
      <c r="A14" s="5" t="s">
        <v>11</v>
      </c>
      <c r="B14" s="6" t="n">
        <f aca="false">Inputs!$B$15</f>
        <v>848394</v>
      </c>
    </row>
    <row r="15" customFormat="false" ht="15" hidden="false" customHeight="false" outlineLevel="0" collapsed="false">
      <c r="A15" s="5" t="s">
        <v>12</v>
      </c>
      <c r="B15" s="6" t="n">
        <f aca="false">Inputs!$B$20</f>
        <v>40434.3854222646</v>
      </c>
    </row>
    <row r="16" customFormat="false" ht="15" hidden="false" customHeight="false" outlineLevel="0" collapsed="false">
      <c r="A16" s="5" t="s">
        <v>13</v>
      </c>
      <c r="B16" s="6" t="n">
        <f aca="false">Inputs!$B$30</f>
        <v>26000</v>
      </c>
    </row>
    <row r="17" customFormat="false" ht="15" hidden="false" customHeight="false" outlineLevel="0" collapsed="false">
      <c r="A17" s="5" t="s">
        <v>14</v>
      </c>
      <c r="B17" s="9" t="n">
        <f aca="false">Inputs!$B$34</f>
        <v>0.05</v>
      </c>
    </row>
    <row r="18" customFormat="false" ht="15" hidden="false" customHeight="false" outlineLevel="0" collapsed="false">
      <c r="A18" s="5" t="s">
        <v>15</v>
      </c>
      <c r="B18" s="9" t="n">
        <f aca="false">Inputs!$B$43</f>
        <v>0.078</v>
      </c>
    </row>
    <row r="19" customFormat="false" ht="15" hidden="false" customHeight="false" outlineLevel="0" collapsed="false">
      <c r="A19" s="5" t="s">
        <v>16</v>
      </c>
      <c r="B19" s="9" t="n">
        <f aca="false">Inputs!$B$31</f>
        <v>0.06</v>
      </c>
    </row>
    <row r="20" customFormat="false" ht="15" hidden="false" customHeight="false" outlineLevel="0" collapsed="false">
      <c r="A20" s="5" t="s">
        <v>17</v>
      </c>
      <c r="B20" s="9" t="n">
        <f aca="false">Inputs!$B$41</f>
        <v>0.75</v>
      </c>
    </row>
    <row r="22" customFormat="false" ht="15" hidden="false" customHeight="false" outlineLevel="0" collapsed="false">
      <c r="A22" s="7" t="s">
        <v>18</v>
      </c>
      <c r="B22" s="7" t="n">
        <f aca="false">IFERROR(INDEX(Model!$A$3:$A$27,MATCH(TRUE(),INDEX(Model!$T$3:$T$27&gt;0,0),0)),"Not within 25y")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10" t="s">
        <v>20</v>
      </c>
    </row>
    <row r="5" customFormat="false" ht="15" hidden="false" customHeight="false" outlineLevel="0" collapsed="false">
      <c r="A5" s="11" t="s">
        <v>21</v>
      </c>
      <c r="B5" s="12"/>
      <c r="C5" s="12"/>
    </row>
    <row r="6" customFormat="false" ht="15" hidden="false" customHeight="false" outlineLevel="0" collapsed="false">
      <c r="A6" s="5" t="s">
        <v>10</v>
      </c>
      <c r="B6" s="13" t="n">
        <v>4500000</v>
      </c>
      <c r="C6" s="14" t="s">
        <v>22</v>
      </c>
    </row>
    <row r="7" customFormat="false" ht="15" hidden="false" customHeight="false" outlineLevel="0" collapsed="false">
      <c r="A7" s="5" t="s">
        <v>23</v>
      </c>
      <c r="B7" s="15" t="n">
        <v>0.1</v>
      </c>
      <c r="C7" s="14" t="s">
        <v>24</v>
      </c>
    </row>
    <row r="8" customFormat="false" ht="15" hidden="false" customHeight="false" outlineLevel="0" collapsed="false">
      <c r="A8" s="5" t="s">
        <v>25</v>
      </c>
      <c r="B8" s="16" t="n">
        <f aca="false">Inputs!$B$6*Inputs!$B$7</f>
        <v>450000</v>
      </c>
      <c r="C8" s="14" t="s">
        <v>26</v>
      </c>
    </row>
    <row r="9" customFormat="false" ht="15" hidden="false" customHeight="false" outlineLevel="0" collapsed="false">
      <c r="A9" s="5" t="s">
        <v>27</v>
      </c>
      <c r="B9" s="16" t="n">
        <f aca="false">Inputs!$B$6-Inputs!$B$8</f>
        <v>4050000</v>
      </c>
      <c r="C9" s="14" t="s">
        <v>26</v>
      </c>
    </row>
    <row r="10" customFormat="false" ht="22.35" hidden="false" customHeight="false" outlineLevel="0" collapsed="false">
      <c r="A10" s="5" t="s">
        <v>28</v>
      </c>
      <c r="B10" s="16" t="n">
        <f aca="false">VLOOKUP(Inputs!$B$6,Inputs!$A$52:$C$57,2,TRUE())+VLOOKUP(Inputs!$B$6,Inputs!$A$52:$C$57,3,TRUE())*(Inputs!$B$6-VLOOKUP(Inputs!$B$6,Inputs!$A$52:$C$57,1,TRUE()))</f>
        <v>272356</v>
      </c>
      <c r="C10" s="14" t="s">
        <v>29</v>
      </c>
    </row>
    <row r="11" customFormat="false" ht="15" hidden="false" customHeight="false" outlineLevel="0" collapsed="false">
      <c r="A11" s="5" t="s">
        <v>30</v>
      </c>
      <c r="B11" s="17" t="n">
        <v>58000</v>
      </c>
      <c r="C11" s="14" t="s">
        <v>31</v>
      </c>
    </row>
    <row r="12" customFormat="false" ht="15" hidden="false" customHeight="false" outlineLevel="0" collapsed="false">
      <c r="A12" s="5" t="s">
        <v>32</v>
      </c>
      <c r="B12" s="17" t="n">
        <v>47000</v>
      </c>
      <c r="C12" s="14" t="s">
        <v>33</v>
      </c>
    </row>
    <row r="13" customFormat="false" ht="15" hidden="false" customHeight="false" outlineLevel="0" collapsed="false">
      <c r="A13" s="5" t="s">
        <v>34</v>
      </c>
      <c r="B13" s="17" t="n">
        <v>6038</v>
      </c>
      <c r="C13" s="14" t="s">
        <v>35</v>
      </c>
    </row>
    <row r="14" customFormat="false" ht="15" hidden="false" customHeight="false" outlineLevel="0" collapsed="false">
      <c r="A14" s="5" t="s">
        <v>36</v>
      </c>
      <c r="B14" s="17" t="n">
        <v>15000</v>
      </c>
      <c r="C14" s="14" t="s">
        <v>37</v>
      </c>
    </row>
    <row r="15" customFormat="false" ht="15" hidden="false" customHeight="false" outlineLevel="0" collapsed="false">
      <c r="A15" s="5" t="s">
        <v>38</v>
      </c>
      <c r="B15" s="16" t="n">
        <f aca="false">Inputs!$B$8+Inputs!$B$10+Inputs!$B$11+Inputs!$B$12+Inputs!$B$13+Inputs!$B$14</f>
        <v>848394</v>
      </c>
      <c r="C15" s="14" t="s">
        <v>39</v>
      </c>
    </row>
    <row r="17" customFormat="false" ht="15" hidden="false" customHeight="false" outlineLevel="0" collapsed="false">
      <c r="A17" s="11" t="s">
        <v>40</v>
      </c>
      <c r="B17" s="12"/>
      <c r="C17" s="12"/>
    </row>
    <row r="18" customFormat="false" ht="15" hidden="false" customHeight="false" outlineLevel="0" collapsed="false">
      <c r="A18" s="5" t="s">
        <v>41</v>
      </c>
      <c r="B18" s="18" t="n">
        <v>0.105</v>
      </c>
      <c r="C18" s="14" t="s">
        <v>42</v>
      </c>
    </row>
    <row r="19" customFormat="false" ht="15" hidden="false" customHeight="false" outlineLevel="0" collapsed="false">
      <c r="A19" s="5" t="s">
        <v>43</v>
      </c>
      <c r="B19" s="19" t="n">
        <v>20</v>
      </c>
      <c r="C19" s="14" t="s">
        <v>44</v>
      </c>
    </row>
    <row r="20" customFormat="false" ht="15" hidden="false" customHeight="false" outlineLevel="0" collapsed="false">
      <c r="A20" s="5" t="s">
        <v>12</v>
      </c>
      <c r="B20" s="16" t="n">
        <f aca="false">PMT(Inputs!$B$18/12,Inputs!$B$19*12,-Inputs!$B$9)</f>
        <v>40434.3854222646</v>
      </c>
      <c r="C20" s="14" t="s">
        <v>26</v>
      </c>
    </row>
    <row r="22" customFormat="false" ht="15" hidden="false" customHeight="false" outlineLevel="0" collapsed="false">
      <c r="A22" s="11" t="s">
        <v>45</v>
      </c>
      <c r="B22" s="12"/>
      <c r="C22" s="12"/>
    </row>
    <row r="23" customFormat="false" ht="22.35" hidden="false" customHeight="false" outlineLevel="0" collapsed="false">
      <c r="A23" s="5" t="s">
        <v>46</v>
      </c>
      <c r="B23" s="17" t="n">
        <v>3000</v>
      </c>
      <c r="C23" s="14" t="s">
        <v>47</v>
      </c>
    </row>
    <row r="24" customFormat="false" ht="15" hidden="false" customHeight="false" outlineLevel="0" collapsed="false">
      <c r="A24" s="5" t="s">
        <v>48</v>
      </c>
      <c r="B24" s="17" t="n">
        <v>2000</v>
      </c>
      <c r="C24" s="14" t="s">
        <v>49</v>
      </c>
    </row>
    <row r="25" customFormat="false" ht="15" hidden="false" customHeight="false" outlineLevel="0" collapsed="false">
      <c r="A25" s="5" t="s">
        <v>50</v>
      </c>
      <c r="B25" s="17" t="n">
        <v>500</v>
      </c>
      <c r="C25" s="14" t="s">
        <v>51</v>
      </c>
    </row>
    <row r="26" customFormat="false" ht="15" hidden="false" customHeight="false" outlineLevel="0" collapsed="false">
      <c r="A26" s="5" t="s">
        <v>52</v>
      </c>
      <c r="B26" s="15" t="n">
        <v>0.005</v>
      </c>
      <c r="C26" s="14" t="s">
        <v>53</v>
      </c>
    </row>
    <row r="27" customFormat="false" ht="15" hidden="false" customHeight="false" outlineLevel="0" collapsed="false">
      <c r="A27" s="5" t="s">
        <v>54</v>
      </c>
      <c r="B27" s="15" t="n">
        <v>0.07</v>
      </c>
      <c r="C27" s="14" t="s">
        <v>55</v>
      </c>
    </row>
    <row r="29" customFormat="false" ht="15" hidden="false" customHeight="false" outlineLevel="0" collapsed="false">
      <c r="A29" s="11" t="s">
        <v>56</v>
      </c>
      <c r="B29" s="12"/>
      <c r="C29" s="12"/>
    </row>
    <row r="30" customFormat="false" ht="15" hidden="false" customHeight="false" outlineLevel="0" collapsed="false">
      <c r="A30" s="5" t="s">
        <v>57</v>
      </c>
      <c r="B30" s="13" t="n">
        <v>26000</v>
      </c>
      <c r="C30" s="14" t="s">
        <v>58</v>
      </c>
    </row>
    <row r="31" customFormat="false" ht="15" hidden="false" customHeight="false" outlineLevel="0" collapsed="false">
      <c r="A31" s="5" t="s">
        <v>59</v>
      </c>
      <c r="B31" s="18" t="n">
        <v>0.06</v>
      </c>
      <c r="C31" s="14" t="s">
        <v>60</v>
      </c>
    </row>
    <row r="33" customFormat="false" ht="15" hidden="false" customHeight="false" outlineLevel="0" collapsed="false">
      <c r="A33" s="11" t="s">
        <v>61</v>
      </c>
      <c r="B33" s="12"/>
      <c r="C33" s="12"/>
    </row>
    <row r="34" customFormat="false" ht="22.35" hidden="false" customHeight="false" outlineLevel="0" collapsed="false">
      <c r="A34" s="5" t="s">
        <v>62</v>
      </c>
      <c r="B34" s="18" t="n">
        <v>0.05</v>
      </c>
      <c r="C34" s="14" t="s">
        <v>63</v>
      </c>
    </row>
    <row r="35" customFormat="false" ht="15" hidden="false" customHeight="false" outlineLevel="0" collapsed="false">
      <c r="A35" s="5" t="s">
        <v>64</v>
      </c>
      <c r="B35" s="18" t="n">
        <v>0.1</v>
      </c>
      <c r="C35" s="14" t="s">
        <v>65</v>
      </c>
    </row>
    <row r="36" customFormat="false" ht="15" hidden="false" customHeight="false" outlineLevel="0" collapsed="false">
      <c r="A36" s="5" t="s">
        <v>66</v>
      </c>
      <c r="B36" s="15" t="n">
        <v>0.008</v>
      </c>
      <c r="C36" s="14" t="s">
        <v>67</v>
      </c>
    </row>
    <row r="37" customFormat="false" ht="15" hidden="false" customHeight="false" outlineLevel="0" collapsed="false">
      <c r="A37" s="5" t="s">
        <v>68</v>
      </c>
      <c r="B37" s="15" t="n">
        <v>0.004</v>
      </c>
      <c r="C37" s="14" t="s">
        <v>69</v>
      </c>
    </row>
    <row r="38" customFormat="false" ht="15" hidden="false" customHeight="false" outlineLevel="0" collapsed="false">
      <c r="A38" s="5" t="s">
        <v>70</v>
      </c>
      <c r="B38" s="15" t="n">
        <v>0.045</v>
      </c>
      <c r="C38" s="14" t="s">
        <v>71</v>
      </c>
    </row>
    <row r="40" customFormat="false" ht="15" hidden="false" customHeight="false" outlineLevel="0" collapsed="false">
      <c r="A40" s="11" t="s">
        <v>72</v>
      </c>
      <c r="B40" s="12"/>
      <c r="C40" s="12"/>
    </row>
    <row r="41" customFormat="false" ht="15" hidden="false" customHeight="false" outlineLevel="0" collapsed="false">
      <c r="A41" s="5" t="s">
        <v>73</v>
      </c>
      <c r="B41" s="18" t="n">
        <v>0.75</v>
      </c>
      <c r="C41" s="14" t="s">
        <v>74</v>
      </c>
    </row>
    <row r="42" customFormat="false" ht="15" hidden="false" customHeight="false" outlineLevel="0" collapsed="false">
      <c r="A42" s="5" t="s">
        <v>75</v>
      </c>
      <c r="B42" s="18" t="n">
        <v>0.01</v>
      </c>
      <c r="C42" s="14" t="s">
        <v>76</v>
      </c>
    </row>
    <row r="43" customFormat="false" ht="15" hidden="false" customHeight="false" outlineLevel="0" collapsed="false">
      <c r="A43" s="5" t="s">
        <v>77</v>
      </c>
      <c r="B43" s="20" t="n">
        <f aca="false">Inputs!$B$35-Inputs!$B$36-Inputs!$B$37-Inputs!$B$42</f>
        <v>0.078</v>
      </c>
      <c r="C43" s="14" t="s">
        <v>78</v>
      </c>
    </row>
    <row r="45" customFormat="false" ht="15" hidden="false" customHeight="false" outlineLevel="0" collapsed="false">
      <c r="A45" s="11" t="s">
        <v>79</v>
      </c>
      <c r="B45" s="12"/>
      <c r="C45" s="12"/>
    </row>
    <row r="46" customFormat="false" ht="15" hidden="false" customHeight="false" outlineLevel="0" collapsed="false">
      <c r="A46" s="5" t="s">
        <v>80</v>
      </c>
      <c r="B46" s="15" t="n">
        <v>0.0575</v>
      </c>
      <c r="C46" s="14" t="s">
        <v>81</v>
      </c>
    </row>
    <row r="47" customFormat="false" ht="15" hidden="false" customHeight="false" outlineLevel="0" collapsed="false">
      <c r="A47" s="5" t="s">
        <v>82</v>
      </c>
      <c r="B47" s="17" t="n">
        <v>2000000</v>
      </c>
      <c r="C47" s="14" t="s">
        <v>83</v>
      </c>
    </row>
    <row r="48" customFormat="false" ht="15" hidden="false" customHeight="false" outlineLevel="0" collapsed="false">
      <c r="A48" s="5" t="s">
        <v>84</v>
      </c>
      <c r="B48" s="15" t="n">
        <v>0.18</v>
      </c>
      <c r="C48" s="14" t="s">
        <v>85</v>
      </c>
    </row>
    <row r="50" customFormat="false" ht="15" hidden="false" customHeight="false" outlineLevel="0" collapsed="false">
      <c r="A50" s="7" t="s">
        <v>86</v>
      </c>
    </row>
    <row r="51" customFormat="false" ht="15" hidden="false" customHeight="false" outlineLevel="0" collapsed="false">
      <c r="A51" s="7" t="s">
        <v>87</v>
      </c>
      <c r="B51" s="7" t="s">
        <v>88</v>
      </c>
      <c r="C51" s="7" t="s">
        <v>89</v>
      </c>
    </row>
    <row r="52" customFormat="false" ht="15" hidden="false" customHeight="false" outlineLevel="0" collapsed="false">
      <c r="A52" s="21" t="n">
        <v>0</v>
      </c>
      <c r="B52" s="21" t="n">
        <v>0</v>
      </c>
      <c r="C52" s="22" t="n">
        <v>0</v>
      </c>
    </row>
    <row r="53" customFormat="false" ht="15" hidden="false" customHeight="false" outlineLevel="0" collapsed="false">
      <c r="A53" s="21" t="n">
        <v>1210000</v>
      </c>
      <c r="B53" s="21" t="n">
        <v>0</v>
      </c>
      <c r="C53" s="22" t="n">
        <v>0.03</v>
      </c>
    </row>
    <row r="54" customFormat="false" ht="15" hidden="false" customHeight="false" outlineLevel="0" collapsed="false">
      <c r="A54" s="21" t="n">
        <v>1663800</v>
      </c>
      <c r="B54" s="21" t="n">
        <v>13614</v>
      </c>
      <c r="C54" s="22" t="n">
        <v>0.06</v>
      </c>
    </row>
    <row r="55" customFormat="false" ht="15" hidden="false" customHeight="false" outlineLevel="0" collapsed="false">
      <c r="A55" s="21" t="n">
        <v>2329300</v>
      </c>
      <c r="B55" s="21" t="n">
        <v>53544</v>
      </c>
      <c r="C55" s="22" t="n">
        <v>0.08</v>
      </c>
    </row>
    <row r="56" customFormat="false" ht="15" hidden="false" customHeight="false" outlineLevel="0" collapsed="false">
      <c r="A56" s="21" t="n">
        <v>2994800</v>
      </c>
      <c r="B56" s="21" t="n">
        <v>106784</v>
      </c>
      <c r="C56" s="22" t="n">
        <v>0.11</v>
      </c>
    </row>
    <row r="57" customFormat="false" ht="15" hidden="false" customHeight="false" outlineLevel="0" collapsed="false">
      <c r="A57" s="21" t="n">
        <v>13310000</v>
      </c>
      <c r="B57" s="21" t="n">
        <v>1241456</v>
      </c>
      <c r="C57" s="22" t="n">
        <v>0.13</v>
      </c>
    </row>
    <row r="58" customFormat="false" ht="15" hidden="false" customHeight="false" outlineLevel="0" collapsed="false">
      <c r="A58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2" min="2" style="0" width="15"/>
  </cols>
  <sheetData>
    <row r="1" customFormat="false" ht="31.5" hidden="false" customHeight="true" outlineLevel="0" collapsed="false">
      <c r="A1" s="23" t="s">
        <v>2</v>
      </c>
      <c r="B1" s="23" t="s">
        <v>91</v>
      </c>
      <c r="C1" s="23" t="s">
        <v>92</v>
      </c>
      <c r="D1" s="23" t="s">
        <v>93</v>
      </c>
      <c r="E1" s="23" t="s">
        <v>46</v>
      </c>
      <c r="F1" s="23" t="s">
        <v>94</v>
      </c>
      <c r="G1" s="23" t="s">
        <v>95</v>
      </c>
      <c r="H1" s="23" t="s">
        <v>96</v>
      </c>
      <c r="I1" s="23" t="s">
        <v>97</v>
      </c>
      <c r="J1" s="23" t="s">
        <v>98</v>
      </c>
      <c r="K1" s="23" t="s">
        <v>99</v>
      </c>
      <c r="L1" s="23" t="s">
        <v>100</v>
      </c>
      <c r="M1" s="23" t="s">
        <v>101</v>
      </c>
      <c r="N1" s="23" t="s">
        <v>102</v>
      </c>
      <c r="O1" s="23" t="s">
        <v>103</v>
      </c>
      <c r="P1" s="23" t="s">
        <v>104</v>
      </c>
      <c r="Q1" s="23" t="s">
        <v>105</v>
      </c>
      <c r="R1" s="23" t="s">
        <v>106</v>
      </c>
      <c r="S1" s="23" t="s">
        <v>107</v>
      </c>
      <c r="T1" s="23" t="s">
        <v>108</v>
      </c>
      <c r="U1" s="23" t="s">
        <v>109</v>
      </c>
      <c r="V1" s="23" t="s">
        <v>110</v>
      </c>
    </row>
    <row r="2" customFormat="false" ht="15" hidden="false" customHeight="false" outlineLevel="0" collapsed="false">
      <c r="A2" s="5" t="n">
        <v>0</v>
      </c>
      <c r="B2" s="6" t="n">
        <f aca="false">Inputs!$B$6</f>
        <v>4500000</v>
      </c>
      <c r="C2" s="6" t="n">
        <f aca="false">Inputs!$B$9</f>
        <v>4050000</v>
      </c>
      <c r="D2" s="16" t="n">
        <v>0</v>
      </c>
      <c r="E2" s="16" t="n">
        <v>0</v>
      </c>
      <c r="F2" s="16" t="n">
        <v>0</v>
      </c>
      <c r="G2" s="16" t="n">
        <v>0</v>
      </c>
      <c r="H2" s="16" t="n">
        <v>0</v>
      </c>
      <c r="I2" s="16" t="n">
        <v>0</v>
      </c>
      <c r="J2" s="16" t="n">
        <v>0</v>
      </c>
      <c r="K2" s="16" t="n">
        <v>0</v>
      </c>
      <c r="L2" s="16" t="n">
        <v>0</v>
      </c>
      <c r="M2" s="6" t="n">
        <f aca="false">Inputs!$B$15</f>
        <v>848394</v>
      </c>
      <c r="N2" s="16" t="n">
        <f aca="false">M2</f>
        <v>848394</v>
      </c>
      <c r="O2" s="16" t="n">
        <v>0</v>
      </c>
      <c r="P2" s="16" t="n">
        <v>0</v>
      </c>
      <c r="Q2" s="16" t="n">
        <v>0</v>
      </c>
      <c r="R2" s="24" t="n">
        <f aca="false">B2*(1-Inputs!$B$46)-C2-MAX(0,B2*(1-Inputs!$B$46)-(Inputs!$B$6+Inputs!$B$10+Inputs!$B$11)-Inputs!$B$47)*Inputs!$B$48+P2-MAX(0,P2-Q2)*Inputs!$B$48</f>
        <v>191250</v>
      </c>
      <c r="S2" s="24" t="n">
        <f aca="false">M2-MAX(0,M2-N2)*Inputs!$B$48</f>
        <v>848394</v>
      </c>
      <c r="T2" s="24" t="n">
        <f aca="false">R2-S2</f>
        <v>-657144</v>
      </c>
      <c r="U2" s="16" t="n">
        <f aca="false">R2/(1+Inputs!$B$38)^A2</f>
        <v>191250</v>
      </c>
      <c r="V2" s="16" t="n">
        <f aca="false">S2/(1+Inputs!$B$38)^A2</f>
        <v>848394</v>
      </c>
    </row>
    <row r="3" customFormat="false" ht="15" hidden="false" customHeight="false" outlineLevel="0" collapsed="false">
      <c r="A3" s="5" t="n">
        <v>1</v>
      </c>
      <c r="B3" s="16" t="n">
        <f aca="false">B2*(1+Inputs!$B$34)</f>
        <v>4725000</v>
      </c>
      <c r="C3" s="16" t="n">
        <f aca="false">IF(A3&gt;=Inputs!$B$19,0,MAX(0,-FV(Inputs!$B$18/12,12*A3,-Inputs!$B$20,Inputs!$B$9)))</f>
        <v>3987065.82685189</v>
      </c>
      <c r="D3" s="16" t="n">
        <f aca="false">IF(A3&lt;=Inputs!$B$19,12*Inputs!$B$20,0)</f>
        <v>485212.625067175</v>
      </c>
      <c r="E3" s="16" t="n">
        <f aca="false">12*Inputs!$B$23*(1+Inputs!$B$27)^(A3-1)</f>
        <v>36000</v>
      </c>
      <c r="F3" s="16" t="n">
        <f aca="false">12*Inputs!$B$24*(1+Inputs!$B$27)^(A3-1)</f>
        <v>24000</v>
      </c>
      <c r="G3" s="16" t="n">
        <f aca="false">12*Inputs!$B$25*(1+Inputs!$B$27)^(A3-1)</f>
        <v>6000</v>
      </c>
      <c r="H3" s="16" t="n">
        <f aca="false">Inputs!$B$26*B2</f>
        <v>22500</v>
      </c>
      <c r="I3" s="16" t="n">
        <f aca="false">SUM(D3:H3)</f>
        <v>573712.625067175</v>
      </c>
      <c r="J3" s="16" t="n">
        <f aca="false">12*Inputs!$B$30*(1+Inputs!$B$31)^(A3-1)</f>
        <v>312000</v>
      </c>
      <c r="K3" s="16" t="n">
        <f aca="false">I3-J3</f>
        <v>261712.625067175</v>
      </c>
      <c r="L3" s="16" t="n">
        <f aca="false">IF(K3&gt;0,K3*Inputs!$B$41,K3)</f>
        <v>196284.468800381</v>
      </c>
      <c r="M3" s="16" t="n">
        <f aca="false">MAX(0,M2*(1+Inputs!$B$43)+L3*(1+Inputs!$B$43)^0.5)</f>
        <v>1118364.57327809</v>
      </c>
      <c r="N3" s="16" t="n">
        <f aca="false">MAX(0,N2+L3)</f>
        <v>1044678.46880038</v>
      </c>
      <c r="O3" s="16" t="n">
        <f aca="false">IF(K3&lt;0,-K3*Inputs!$B$41,0)</f>
        <v>0</v>
      </c>
      <c r="P3" s="16" t="n">
        <f aca="false">P2*(1+Inputs!$B$43)+O3*(1+Inputs!$B$43)^0.5</f>
        <v>0</v>
      </c>
      <c r="Q3" s="16" t="n">
        <f aca="false">Q2+O3</f>
        <v>0</v>
      </c>
      <c r="R3" s="24" t="n">
        <f aca="false">B3*(1-Inputs!$B$46)-C3-MAX(0,B3*(1-Inputs!$B$46)-(Inputs!$B$6+Inputs!$B$10+Inputs!$B$11)-Inputs!$B$47)*Inputs!$B$48+P3-MAX(0,P3-Q3)*Inputs!$B$48</f>
        <v>466246.673148111</v>
      </c>
      <c r="S3" s="24" t="n">
        <f aca="false">M3-MAX(0,M3-N3)*Inputs!$B$48</f>
        <v>1105101.0744721</v>
      </c>
      <c r="T3" s="24" t="n">
        <f aca="false">R3-S3</f>
        <v>-638854.401323989</v>
      </c>
      <c r="U3" s="16" t="n">
        <f aca="false">R3/(1+Inputs!$B$38)^A3</f>
        <v>446169.065213503</v>
      </c>
      <c r="V3" s="16" t="n">
        <f aca="false">S3/(1+Inputs!$B$38)^A3</f>
        <v>1057512.98992545</v>
      </c>
    </row>
    <row r="4" customFormat="false" ht="15" hidden="false" customHeight="false" outlineLevel="0" collapsed="false">
      <c r="A4" s="5" t="n">
        <v>2</v>
      </c>
      <c r="B4" s="16" t="n">
        <f aca="false">B3*(1+Inputs!$B$34)</f>
        <v>4961250</v>
      </c>
      <c r="C4" s="16" t="n">
        <f aca="false">IF(A4&gt;=Inputs!$B$19,0,MAX(0,-FV(Inputs!$B$18/12,12*A4,-Inputs!$B$20,Inputs!$B$9)))</f>
        <v>3917196.09067152</v>
      </c>
      <c r="D4" s="16" t="n">
        <f aca="false">IF(A4&lt;=Inputs!$B$19,12*Inputs!$B$20,0)</f>
        <v>485212.625067175</v>
      </c>
      <c r="E4" s="16" t="n">
        <f aca="false">12*Inputs!$B$23*(1+Inputs!$B$27)^(A4-1)</f>
        <v>38520</v>
      </c>
      <c r="F4" s="16" t="n">
        <f aca="false">12*Inputs!$B$24*(1+Inputs!$B$27)^(A4-1)</f>
        <v>25680</v>
      </c>
      <c r="G4" s="16" t="n">
        <f aca="false">12*Inputs!$B$25*(1+Inputs!$B$27)^(A4-1)</f>
        <v>6420</v>
      </c>
      <c r="H4" s="16" t="n">
        <f aca="false">Inputs!$B$26*B3</f>
        <v>23625</v>
      </c>
      <c r="I4" s="16" t="n">
        <f aca="false">SUM(D4:H4)</f>
        <v>579457.625067175</v>
      </c>
      <c r="J4" s="16" t="n">
        <f aca="false">12*Inputs!$B$30*(1+Inputs!$B$31)^(A4-1)</f>
        <v>330720</v>
      </c>
      <c r="K4" s="16" t="n">
        <f aca="false">I4-J4</f>
        <v>248737.625067175</v>
      </c>
      <c r="L4" s="16" t="n">
        <f aca="false">IF(K4&gt;0,K4*Inputs!$B$41,K4)</f>
        <v>186553.218800381</v>
      </c>
      <c r="M4" s="16" t="n">
        <f aca="false">MAX(0,M3*(1+Inputs!$B$43)+L4*(1+Inputs!$B$43)^0.5)</f>
        <v>1399289.20785801</v>
      </c>
      <c r="N4" s="16" t="n">
        <f aca="false">MAX(0,N3+L4)</f>
        <v>1231231.68760076</v>
      </c>
      <c r="O4" s="16" t="n">
        <f aca="false">IF(K4&lt;0,-K4*Inputs!$B$41,0)</f>
        <v>0</v>
      </c>
      <c r="P4" s="16" t="n">
        <f aca="false">P3*(1+Inputs!$B$43)+O4*(1+Inputs!$B$43)^0.5</f>
        <v>0</v>
      </c>
      <c r="Q4" s="16" t="n">
        <f aca="false">Q3+O4</f>
        <v>0</v>
      </c>
      <c r="R4" s="24" t="n">
        <f aca="false">B4*(1-Inputs!$B$46)-C4-MAX(0,B4*(1-Inputs!$B$46)-(Inputs!$B$6+Inputs!$B$10+Inputs!$B$11)-Inputs!$B$47)*Inputs!$B$48+P4-MAX(0,P4-Q4)*Inputs!$B$48</f>
        <v>758782.034328477</v>
      </c>
      <c r="S4" s="24" t="n">
        <f aca="false">M4-MAX(0,M4-N4)*Inputs!$B$48</f>
        <v>1369038.8542117</v>
      </c>
      <c r="T4" s="24" t="n">
        <f aca="false">R4-S4</f>
        <v>-610256.819883226</v>
      </c>
      <c r="U4" s="16" t="n">
        <f aca="false">R4/(1+Inputs!$B$38)^A4</f>
        <v>694839.435295416</v>
      </c>
      <c r="V4" s="16" t="n">
        <f aca="false">S4/(1+Inputs!$B$38)^A4</f>
        <v>1253669.88320936</v>
      </c>
    </row>
    <row r="5" customFormat="false" ht="15" hidden="false" customHeight="false" outlineLevel="0" collapsed="false">
      <c r="A5" s="5" t="n">
        <v>3</v>
      </c>
      <c r="B5" s="16" t="n">
        <f aca="false">B4*(1+Inputs!$B$34)</f>
        <v>5209312.5</v>
      </c>
      <c r="C5" s="16" t="n">
        <f aca="false">IF(A5&gt;=Inputs!$B$19,0,MAX(0,-FV(Inputs!$B$18/12,12*A5,-Inputs!$B$20,Inputs!$B$9)))</f>
        <v>3839626.46848192</v>
      </c>
      <c r="D5" s="16" t="n">
        <f aca="false">IF(A5&lt;=Inputs!$B$19,12*Inputs!$B$20,0)</f>
        <v>485212.625067175</v>
      </c>
      <c r="E5" s="16" t="n">
        <f aca="false">12*Inputs!$B$23*(1+Inputs!$B$27)^(A5-1)</f>
        <v>41216.4</v>
      </c>
      <c r="F5" s="16" t="n">
        <f aca="false">12*Inputs!$B$24*(1+Inputs!$B$27)^(A5-1)</f>
        <v>27477.6</v>
      </c>
      <c r="G5" s="16" t="n">
        <f aca="false">12*Inputs!$B$25*(1+Inputs!$B$27)^(A5-1)</f>
        <v>6869.4</v>
      </c>
      <c r="H5" s="16" t="n">
        <f aca="false">Inputs!$B$26*B4</f>
        <v>24806.25</v>
      </c>
      <c r="I5" s="16" t="n">
        <f aca="false">SUM(D5:H5)</f>
        <v>585582.275067175</v>
      </c>
      <c r="J5" s="16" t="n">
        <f aca="false">12*Inputs!$B$30*(1+Inputs!$B$31)^(A5-1)</f>
        <v>350563.2</v>
      </c>
      <c r="K5" s="16" t="n">
        <f aca="false">I5-J5</f>
        <v>235019.075067175</v>
      </c>
      <c r="L5" s="16" t="n">
        <f aca="false">IF(K5&gt;0,K5*Inputs!$B$41,K5)</f>
        <v>176264.306300381</v>
      </c>
      <c r="M5" s="16" t="n">
        <f aca="false">MAX(0,M4*(1+Inputs!$B$43)+L5*(1+Inputs!$B$43)^0.5)</f>
        <v>1691443.31751087</v>
      </c>
      <c r="N5" s="16" t="n">
        <f aca="false">MAX(0,N4+L5)</f>
        <v>1407495.99390114</v>
      </c>
      <c r="O5" s="16" t="n">
        <f aca="false">IF(K5&lt;0,-K5*Inputs!$B$41,0)</f>
        <v>0</v>
      </c>
      <c r="P5" s="16" t="n">
        <f aca="false">P4*(1+Inputs!$B$43)+O5*(1+Inputs!$B$43)^0.5</f>
        <v>0</v>
      </c>
      <c r="Q5" s="16" t="n">
        <f aca="false">Q4+O5</f>
        <v>0</v>
      </c>
      <c r="R5" s="24" t="n">
        <f aca="false">B5*(1-Inputs!$B$46)-C5-MAX(0,B5*(1-Inputs!$B$46)-(Inputs!$B$6+Inputs!$B$10+Inputs!$B$11)-Inputs!$B$47)*Inputs!$B$48+P5-MAX(0,P5-Q5)*Inputs!$B$48</f>
        <v>1070150.56276808</v>
      </c>
      <c r="S5" s="24" t="n">
        <f aca="false">M5-MAX(0,M5-N5)*Inputs!$B$48</f>
        <v>1640332.79926112</v>
      </c>
      <c r="T5" s="24" t="n">
        <f aca="false">R5-S5</f>
        <v>-570182.236493044</v>
      </c>
      <c r="U5" s="16" t="n">
        <f aca="false">R5/(1+Inputs!$B$38)^A5</f>
        <v>937769.303981116</v>
      </c>
      <c r="V5" s="16" t="n">
        <f aca="false">S5/(1+Inputs!$B$38)^A5</f>
        <v>1437418.0615124</v>
      </c>
    </row>
    <row r="6" customFormat="false" ht="15" hidden="false" customHeight="false" outlineLevel="0" collapsed="false">
      <c r="A6" s="5" t="n">
        <v>4</v>
      </c>
      <c r="B6" s="16" t="n">
        <f aca="false">B5*(1+Inputs!$B$34)</f>
        <v>5469778.125</v>
      </c>
      <c r="C6" s="16" t="n">
        <f aca="false">IF(A6&gt;=Inputs!$B$19,0,MAX(0,-FV(Inputs!$B$18/12,12*A6,-Inputs!$B$20,Inputs!$B$9)))</f>
        <v>3753508.40627679</v>
      </c>
      <c r="D6" s="16" t="n">
        <f aca="false">IF(A6&lt;=Inputs!$B$19,12*Inputs!$B$20,0)</f>
        <v>485212.625067175</v>
      </c>
      <c r="E6" s="16" t="n">
        <f aca="false">12*Inputs!$B$23*(1+Inputs!$B$27)^(A6-1)</f>
        <v>44101.548</v>
      </c>
      <c r="F6" s="16" t="n">
        <f aca="false">12*Inputs!$B$24*(1+Inputs!$B$27)^(A6-1)</f>
        <v>29401.032</v>
      </c>
      <c r="G6" s="16" t="n">
        <f aca="false">12*Inputs!$B$25*(1+Inputs!$B$27)^(A6-1)</f>
        <v>7350.258</v>
      </c>
      <c r="H6" s="16" t="n">
        <f aca="false">Inputs!$B$26*B5</f>
        <v>26046.5625</v>
      </c>
      <c r="I6" s="16" t="n">
        <f aca="false">SUM(D6:H6)</f>
        <v>592112.025567175</v>
      </c>
      <c r="J6" s="16" t="n">
        <f aca="false">12*Inputs!$B$30*(1+Inputs!$B$31)^(A6-1)</f>
        <v>371596.992</v>
      </c>
      <c r="K6" s="16" t="n">
        <f aca="false">I6-J6</f>
        <v>220515.033567175</v>
      </c>
      <c r="L6" s="16" t="n">
        <f aca="false">IF(K6&gt;0,K6*Inputs!$B$41,K6)</f>
        <v>165386.275175381</v>
      </c>
      <c r="M6" s="16" t="n">
        <f aca="false">MAX(0,M5*(1+Inputs!$B$43)+L6*(1+Inputs!$B$43)^0.5)</f>
        <v>1995091.13840061</v>
      </c>
      <c r="N6" s="16" t="n">
        <f aca="false">MAX(0,N5+L6)</f>
        <v>1572882.26907652</v>
      </c>
      <c r="O6" s="16" t="n">
        <f aca="false">IF(K6&lt;0,-K6*Inputs!$B$41,0)</f>
        <v>0</v>
      </c>
      <c r="P6" s="16" t="n">
        <f aca="false">P5*(1+Inputs!$B$43)+O6*(1+Inputs!$B$43)^0.5</f>
        <v>0</v>
      </c>
      <c r="Q6" s="16" t="n">
        <f aca="false">Q5+O6</f>
        <v>0</v>
      </c>
      <c r="R6" s="24" t="n">
        <f aca="false">B6*(1-Inputs!$B$46)-C6-MAX(0,B6*(1-Inputs!$B$46)-(Inputs!$B$6+Inputs!$B$10+Inputs!$B$11)-Inputs!$B$47)*Inputs!$B$48+P6-MAX(0,P6-Q6)*Inputs!$B$48</f>
        <v>1401757.47653571</v>
      </c>
      <c r="S6" s="24" t="n">
        <f aca="false">M6-MAX(0,M6-N6)*Inputs!$B$48</f>
        <v>1919093.54192227</v>
      </c>
      <c r="T6" s="24" t="n">
        <f aca="false">R6-S6</f>
        <v>-517336.065386557</v>
      </c>
      <c r="U6" s="16" t="n">
        <f aca="false">R6/(1+Inputs!$B$38)^A6</f>
        <v>1175459.63291562</v>
      </c>
      <c r="V6" s="16" t="n">
        <f aca="false">S6/(1+Inputs!$B$38)^A6</f>
        <v>1609277.6589954</v>
      </c>
    </row>
    <row r="7" customFormat="false" ht="15" hidden="false" customHeight="false" outlineLevel="0" collapsed="false">
      <c r="A7" s="5" t="n">
        <v>5</v>
      </c>
      <c r="B7" s="16" t="n">
        <f aca="false">B6*(1+Inputs!$B$34)</f>
        <v>5743267.03125</v>
      </c>
      <c r="C7" s="16" t="n">
        <f aca="false">IF(A7&gt;=Inputs!$B$19,0,MAX(0,-FV(Inputs!$B$18/12,12*A7,-Inputs!$B$20,Inputs!$B$9)))</f>
        <v>3657899.83647042</v>
      </c>
      <c r="D7" s="16" t="n">
        <f aca="false">IF(A7&lt;=Inputs!$B$19,12*Inputs!$B$20,0)</f>
        <v>485212.625067175</v>
      </c>
      <c r="E7" s="16" t="n">
        <f aca="false">12*Inputs!$B$23*(1+Inputs!$B$27)^(A7-1)</f>
        <v>47188.65636</v>
      </c>
      <c r="F7" s="16" t="n">
        <f aca="false">12*Inputs!$B$24*(1+Inputs!$B$27)^(A7-1)</f>
        <v>31459.10424</v>
      </c>
      <c r="G7" s="16" t="n">
        <f aca="false">12*Inputs!$B$25*(1+Inputs!$B$27)^(A7-1)</f>
        <v>7864.77606</v>
      </c>
      <c r="H7" s="16" t="n">
        <f aca="false">Inputs!$B$26*B6</f>
        <v>27348.890625</v>
      </c>
      <c r="I7" s="16" t="n">
        <f aca="false">SUM(D7:H7)</f>
        <v>599074.052352175</v>
      </c>
      <c r="J7" s="16" t="n">
        <f aca="false">12*Inputs!$B$30*(1+Inputs!$B$31)^(A7-1)</f>
        <v>393892.81152</v>
      </c>
      <c r="K7" s="16" t="n">
        <f aca="false">I7-J7</f>
        <v>205181.240832175</v>
      </c>
      <c r="L7" s="16" t="n">
        <f aca="false">IF(K7&gt;0,K7*Inputs!$B$41,K7)</f>
        <v>153885.930624131</v>
      </c>
      <c r="M7" s="16" t="n">
        <f aca="false">MAX(0,M6*(1+Inputs!$B$43)+L7*(1+Inputs!$B$43)^0.5)</f>
        <v>2310483.05201905</v>
      </c>
      <c r="N7" s="16" t="n">
        <f aca="false">MAX(0,N6+L7)</f>
        <v>1726768.19970066</v>
      </c>
      <c r="O7" s="16" t="n">
        <f aca="false">IF(K7&lt;0,-K7*Inputs!$B$41,0)</f>
        <v>0</v>
      </c>
      <c r="P7" s="16" t="n">
        <f aca="false">P6*(1+Inputs!$B$43)+O7*(1+Inputs!$B$43)^0.5</f>
        <v>0</v>
      </c>
      <c r="Q7" s="16" t="n">
        <f aca="false">Q6+O7</f>
        <v>0</v>
      </c>
      <c r="R7" s="24" t="n">
        <f aca="false">B7*(1-Inputs!$B$46)-C7-MAX(0,B7*(1-Inputs!$B$46)-(Inputs!$B$6+Inputs!$B$10+Inputs!$B$11)-Inputs!$B$47)*Inputs!$B$48+P7-MAX(0,P7-Q7)*Inputs!$B$48</f>
        <v>1755129.34048271</v>
      </c>
      <c r="S7" s="24" t="n">
        <f aca="false">M7-MAX(0,M7-N7)*Inputs!$B$48</f>
        <v>2205414.37860174</v>
      </c>
      <c r="T7" s="24" t="n">
        <f aca="false">R7-S7</f>
        <v>-450285.038119031</v>
      </c>
      <c r="U7" s="16" t="n">
        <f aca="false">R7/(1+Inputs!$B$38)^A7</f>
        <v>1408405.37601441</v>
      </c>
      <c r="V7" s="16" t="n">
        <f aca="false">S7/(1+Inputs!$B$38)^A7</f>
        <v>1769737.07607662</v>
      </c>
    </row>
    <row r="8" customFormat="false" ht="15" hidden="false" customHeight="false" outlineLevel="0" collapsed="false">
      <c r="A8" s="5" t="n">
        <v>6</v>
      </c>
      <c r="B8" s="16" t="n">
        <f aca="false">B7*(1+Inputs!$B$34)</f>
        <v>6030430.3828125</v>
      </c>
      <c r="C8" s="16" t="n">
        <f aca="false">IF(A8&gt;=Inputs!$B$19,0,MAX(0,-FV(Inputs!$B$18/12,12*A8,-Inputs!$B$20,Inputs!$B$9)))</f>
        <v>3551754.87237862</v>
      </c>
      <c r="D8" s="16" t="n">
        <f aca="false">IF(A8&lt;=Inputs!$B$19,12*Inputs!$B$20,0)</f>
        <v>485212.625067175</v>
      </c>
      <c r="E8" s="16" t="n">
        <f aca="false">12*Inputs!$B$23*(1+Inputs!$B$27)^(A8-1)</f>
        <v>50491.8623052</v>
      </c>
      <c r="F8" s="16" t="n">
        <f aca="false">12*Inputs!$B$24*(1+Inputs!$B$27)^(A8-1)</f>
        <v>33661.2415368</v>
      </c>
      <c r="G8" s="16" t="n">
        <f aca="false">12*Inputs!$B$25*(1+Inputs!$B$27)^(A8-1)</f>
        <v>8415.3103842</v>
      </c>
      <c r="H8" s="16" t="n">
        <f aca="false">Inputs!$B$26*B7</f>
        <v>28716.33515625</v>
      </c>
      <c r="I8" s="16" t="n">
        <f aca="false">SUM(D8:H8)</f>
        <v>606497.374449625</v>
      </c>
      <c r="J8" s="16" t="n">
        <f aca="false">12*Inputs!$B$30*(1+Inputs!$B$31)^(A8-1)</f>
        <v>417526.3802112</v>
      </c>
      <c r="K8" s="16" t="n">
        <f aca="false">I8-J8</f>
        <v>188970.994238425</v>
      </c>
      <c r="L8" s="16" t="n">
        <f aca="false">IF(K8&gt;0,K8*Inputs!$B$41,K8)</f>
        <v>141728.245678819</v>
      </c>
      <c r="M8" s="16" t="n">
        <f aca="false">MAX(0,M7*(1+Inputs!$B$43)+L8*(1+Inputs!$B$43)^0.5)</f>
        <v>2637852.60224202</v>
      </c>
      <c r="N8" s="16" t="n">
        <f aca="false">MAX(0,N7+L8)</f>
        <v>1868496.44537947</v>
      </c>
      <c r="O8" s="16" t="n">
        <f aca="false">IF(K8&lt;0,-K8*Inputs!$B$41,0)</f>
        <v>0</v>
      </c>
      <c r="P8" s="16" t="n">
        <f aca="false">P7*(1+Inputs!$B$43)+O8*(1+Inputs!$B$43)^0.5</f>
        <v>0</v>
      </c>
      <c r="Q8" s="16" t="n">
        <f aca="false">Q7+O8</f>
        <v>0</v>
      </c>
      <c r="R8" s="24" t="n">
        <f aca="false">B8*(1-Inputs!$B$46)-C8-MAX(0,B8*(1-Inputs!$B$46)-(Inputs!$B$6+Inputs!$B$10+Inputs!$B$11)-Inputs!$B$47)*Inputs!$B$48+P8-MAX(0,P8-Q8)*Inputs!$B$48</f>
        <v>2131925.76342216</v>
      </c>
      <c r="S8" s="24" t="n">
        <f aca="false">M8-MAX(0,M8-N8)*Inputs!$B$48</f>
        <v>2499368.49400676</v>
      </c>
      <c r="T8" s="24" t="n">
        <f aca="false">R8-S8</f>
        <v>-367442.730584596</v>
      </c>
      <c r="U8" s="16" t="n">
        <f aca="false">R8/(1+Inputs!$B$38)^A8</f>
        <v>1637096.7080573</v>
      </c>
      <c r="V8" s="16" t="n">
        <f aca="false">S8/(1+Inputs!$B$38)^A8</f>
        <v>1919254.41493451</v>
      </c>
    </row>
    <row r="9" customFormat="false" ht="15" hidden="false" customHeight="false" outlineLevel="0" collapsed="false">
      <c r="A9" s="5" t="n">
        <v>7</v>
      </c>
      <c r="B9" s="16" t="n">
        <f aca="false">B8*(1+Inputs!$B$34)</f>
        <v>6331951.90195313</v>
      </c>
      <c r="C9" s="16" t="n">
        <f aca="false">IF(A9&gt;=Inputs!$B$19,0,MAX(0,-FV(Inputs!$B$18/12,12*A9,-Inputs!$B$20,Inputs!$B$9)))</f>
        <v>3433912.36699582</v>
      </c>
      <c r="D9" s="16" t="n">
        <f aca="false">IF(A9&lt;=Inputs!$B$19,12*Inputs!$B$20,0)</f>
        <v>485212.625067175</v>
      </c>
      <c r="E9" s="16" t="n">
        <f aca="false">12*Inputs!$B$23*(1+Inputs!$B$27)^(A9-1)</f>
        <v>54026.292666564</v>
      </c>
      <c r="F9" s="16" t="n">
        <f aca="false">12*Inputs!$B$24*(1+Inputs!$B$27)^(A9-1)</f>
        <v>36017.528444376</v>
      </c>
      <c r="G9" s="16" t="n">
        <f aca="false">12*Inputs!$B$25*(1+Inputs!$B$27)^(A9-1)</f>
        <v>9004.382111094</v>
      </c>
      <c r="H9" s="16" t="n">
        <f aca="false">Inputs!$B$26*B8</f>
        <v>30152.1519140625</v>
      </c>
      <c r="I9" s="16" t="n">
        <f aca="false">SUM(D9:H9)</f>
        <v>614412.980203271</v>
      </c>
      <c r="J9" s="16" t="n">
        <f aca="false">12*Inputs!$B$30*(1+Inputs!$B$31)^(A9-1)</f>
        <v>442577.963023872</v>
      </c>
      <c r="K9" s="16" t="n">
        <f aca="false">I9-J9</f>
        <v>171835.017179399</v>
      </c>
      <c r="L9" s="16" t="n">
        <f aca="false">IF(K9&gt;0,K9*Inputs!$B$41,K9)</f>
        <v>128876.262884549</v>
      </c>
      <c r="M9" s="16" t="n">
        <f aca="false">MAX(0,M8*(1+Inputs!$B$43)+L9*(1+Inputs!$B$43)^0.5)</f>
        <v>2977413.17763266</v>
      </c>
      <c r="N9" s="16" t="n">
        <f aca="false">MAX(0,N8+L9)</f>
        <v>1997372.70826402</v>
      </c>
      <c r="O9" s="16" t="n">
        <f aca="false">IF(K9&lt;0,-K9*Inputs!$B$41,0)</f>
        <v>0</v>
      </c>
      <c r="P9" s="16" t="n">
        <f aca="false">P8*(1+Inputs!$B$43)+O9*(1+Inputs!$B$43)^0.5</f>
        <v>0</v>
      </c>
      <c r="Q9" s="16" t="n">
        <f aca="false">Q8+O9</f>
        <v>0</v>
      </c>
      <c r="R9" s="24" t="n">
        <f aca="false">B9*(1-Inputs!$B$46)-C9-MAX(0,B9*(1-Inputs!$B$46)-(Inputs!$B$6+Inputs!$B$10+Inputs!$B$11)-Inputs!$B$47)*Inputs!$B$48+P9-MAX(0,P9-Q9)*Inputs!$B$48</f>
        <v>2533952.300595</v>
      </c>
      <c r="S9" s="24" t="n">
        <f aca="false">M9-MAX(0,M9-N9)*Inputs!$B$48</f>
        <v>2801005.89314631</v>
      </c>
      <c r="T9" s="24" t="n">
        <f aca="false">R9-S9</f>
        <v>-267053.592551312</v>
      </c>
      <c r="U9" s="16" t="n">
        <f aca="false">R9/(1+Inputs!$B$38)^A9</f>
        <v>1862020.26088713</v>
      </c>
      <c r="V9" s="16" t="n">
        <f aca="false">S9/(1+Inputs!$B$38)^A9</f>
        <v>2058258.84042017</v>
      </c>
    </row>
    <row r="10" customFormat="false" ht="15" hidden="false" customHeight="false" outlineLevel="0" collapsed="false">
      <c r="A10" s="5" t="n">
        <v>8</v>
      </c>
      <c r="B10" s="16" t="n">
        <f aca="false">B9*(1+Inputs!$B$34)</f>
        <v>6648549.49705078</v>
      </c>
      <c r="C10" s="16" t="n">
        <f aca="false">IF(A10&gt;=Inputs!$B$19,0,MAX(0,-FV(Inputs!$B$18/12,12*A10,-Inputs!$B$20,Inputs!$B$9)))</f>
        <v>3303083.21090996</v>
      </c>
      <c r="D10" s="16" t="n">
        <f aca="false">IF(A10&lt;=Inputs!$B$19,12*Inputs!$B$20,0)</f>
        <v>485212.625067175</v>
      </c>
      <c r="E10" s="16" t="n">
        <f aca="false">12*Inputs!$B$23*(1+Inputs!$B$27)^(A10-1)</f>
        <v>57808.1331532235</v>
      </c>
      <c r="F10" s="16" t="n">
        <f aca="false">12*Inputs!$B$24*(1+Inputs!$B$27)^(A10-1)</f>
        <v>38538.7554354823</v>
      </c>
      <c r="G10" s="16" t="n">
        <f aca="false">12*Inputs!$B$25*(1+Inputs!$B$27)^(A10-1)</f>
        <v>9634.68885887058</v>
      </c>
      <c r="H10" s="16" t="n">
        <f aca="false">Inputs!$B$26*B9</f>
        <v>31659.7595097656</v>
      </c>
      <c r="I10" s="16" t="n">
        <f aca="false">SUM(D10:H10)</f>
        <v>622853.962024517</v>
      </c>
      <c r="J10" s="16" t="n">
        <f aca="false">12*Inputs!$B$30*(1+Inputs!$B$31)^(A10-1)</f>
        <v>469132.640805305</v>
      </c>
      <c r="K10" s="16" t="n">
        <f aca="false">I10-J10</f>
        <v>153721.321219212</v>
      </c>
      <c r="L10" s="16" t="n">
        <f aca="false">IF(K10&gt;0,K10*Inputs!$B$41,K10)</f>
        <v>115290.990914409</v>
      </c>
      <c r="M10" s="16" t="n">
        <f aca="false">MAX(0,M9*(1+Inputs!$B$43)+L10*(1+Inputs!$B$43)^0.5)</f>
        <v>3329354.32762334</v>
      </c>
      <c r="N10" s="16" t="n">
        <f aca="false">MAX(0,N9+L10)</f>
        <v>2112663.69917843</v>
      </c>
      <c r="O10" s="16" t="n">
        <f aca="false">IF(K10&lt;0,-K10*Inputs!$B$41,0)</f>
        <v>0</v>
      </c>
      <c r="P10" s="16" t="n">
        <f aca="false">P9*(1+Inputs!$B$43)+O10*(1+Inputs!$B$43)^0.5</f>
        <v>0</v>
      </c>
      <c r="Q10" s="16" t="n">
        <f aca="false">Q9+O10</f>
        <v>0</v>
      </c>
      <c r="R10" s="24" t="n">
        <f aca="false">B10*(1-Inputs!$B$46)-C10-MAX(0,B10*(1-Inputs!$B$46)-(Inputs!$B$6+Inputs!$B$10+Inputs!$B$11)-Inputs!$B$47)*Inputs!$B$48+P10-MAX(0,P10-Q10)*Inputs!$B$48</f>
        <v>2963174.69006041</v>
      </c>
      <c r="S10" s="24" t="n">
        <f aca="false">M10-MAX(0,M10-N10)*Inputs!$B$48</f>
        <v>3110350.01450326</v>
      </c>
      <c r="T10" s="24" t="n">
        <f aca="false">R10-S10</f>
        <v>-147175.32444285</v>
      </c>
      <c r="U10" s="16" t="n">
        <f aca="false">R10/(1+Inputs!$B$38)^A10</f>
        <v>2083660.37066103</v>
      </c>
      <c r="V10" s="16" t="n">
        <f aca="false">S10/(1+Inputs!$B$38)^A10</f>
        <v>2187151.86986606</v>
      </c>
    </row>
    <row r="11" customFormat="false" ht="15" hidden="false" customHeight="false" outlineLevel="0" collapsed="false">
      <c r="A11" s="5" t="n">
        <v>9</v>
      </c>
      <c r="B11" s="16" t="n">
        <f aca="false">B10*(1+Inputs!$B$34)</f>
        <v>6980976.97190332</v>
      </c>
      <c r="C11" s="16" t="n">
        <f aca="false">IF(A11&gt;=Inputs!$B$19,0,MAX(0,-FV(Inputs!$B$18/12,12*A11,-Inputs!$B$20,Inputs!$B$9)))</f>
        <v>3157836.23040373</v>
      </c>
      <c r="D11" s="16" t="n">
        <f aca="false">IF(A11&lt;=Inputs!$B$19,12*Inputs!$B$20,0)</f>
        <v>485212.625067175</v>
      </c>
      <c r="E11" s="16" t="n">
        <f aca="false">12*Inputs!$B$23*(1+Inputs!$B$27)^(A11-1)</f>
        <v>61854.7024739492</v>
      </c>
      <c r="F11" s="16" t="n">
        <f aca="false">12*Inputs!$B$24*(1+Inputs!$B$27)^(A11-1)</f>
        <v>41236.4683159661</v>
      </c>
      <c r="G11" s="16" t="n">
        <f aca="false">12*Inputs!$B$25*(1+Inputs!$B$27)^(A11-1)</f>
        <v>10309.1170789915</v>
      </c>
      <c r="H11" s="16" t="n">
        <f aca="false">Inputs!$B$26*B10</f>
        <v>33242.7474852539</v>
      </c>
      <c r="I11" s="16" t="n">
        <f aca="false">SUM(D11:H11)</f>
        <v>631855.660421336</v>
      </c>
      <c r="J11" s="16" t="n">
        <f aca="false">12*Inputs!$B$30*(1+Inputs!$B$31)^(A11-1)</f>
        <v>497280.599253623</v>
      </c>
      <c r="K11" s="16" t="n">
        <f aca="false">I11-J11</f>
        <v>134575.061167713</v>
      </c>
      <c r="L11" s="16" t="n">
        <f aca="false">IF(K11&gt;0,K11*Inputs!$B$41,K11)</f>
        <v>100931.295875785</v>
      </c>
      <c r="M11" s="16" t="n">
        <f aca="false">MAX(0,M10*(1+Inputs!$B$43)+L11*(1+Inputs!$B$43)^0.5)</f>
        <v>3693837.6785064</v>
      </c>
      <c r="N11" s="16" t="n">
        <f aca="false">MAX(0,N10+L11)</f>
        <v>2213594.99505422</v>
      </c>
      <c r="O11" s="16" t="n">
        <f aca="false">IF(K11&lt;0,-K11*Inputs!$B$41,0)</f>
        <v>0</v>
      </c>
      <c r="P11" s="16" t="n">
        <f aca="false">P10*(1+Inputs!$B$43)+O11*(1+Inputs!$B$43)^0.5</f>
        <v>0</v>
      </c>
      <c r="Q11" s="16" t="n">
        <f aca="false">Q10+O11</f>
        <v>0</v>
      </c>
      <c r="R11" s="24" t="n">
        <f aca="false">B11*(1-Inputs!$B$46)-C11-MAX(0,B11*(1-Inputs!$B$46)-(Inputs!$B$6+Inputs!$B$10+Inputs!$B$11)-Inputs!$B$47)*Inputs!$B$48+P11-MAX(0,P11-Q11)*Inputs!$B$48</f>
        <v>3421734.56561516</v>
      </c>
      <c r="S11" s="24" t="n">
        <f aca="false">M11-MAX(0,M11-N11)*Inputs!$B$48</f>
        <v>3427393.99548501</v>
      </c>
      <c r="T11" s="24" t="n">
        <f aca="false">R11-S11</f>
        <v>-5659.42986985529</v>
      </c>
      <c r="U11" s="16" t="n">
        <f aca="false">R11/(1+Inputs!$B$38)^A11</f>
        <v>2302500.33968978</v>
      </c>
      <c r="V11" s="16" t="n">
        <f aca="false">S11/(1+Inputs!$B$38)^A11</f>
        <v>2306308.59510759</v>
      </c>
    </row>
    <row r="12" customFormat="false" ht="15" hidden="false" customHeight="false" outlineLevel="0" collapsed="false">
      <c r="A12" s="5" t="n">
        <v>10</v>
      </c>
      <c r="B12" s="16" t="n">
        <f aca="false">B11*(1+Inputs!$B$34)</f>
        <v>7330025.82049849</v>
      </c>
      <c r="C12" s="16" t="n">
        <f aca="false">IF(A12&gt;=Inputs!$B$19,0,MAX(0,-FV(Inputs!$B$18/12,12*A12,-Inputs!$B$20,Inputs!$B$9)))</f>
        <v>2996582.531478</v>
      </c>
      <c r="D12" s="16" t="n">
        <f aca="false">IF(A12&lt;=Inputs!$B$19,12*Inputs!$B$20,0)</f>
        <v>485212.625067175</v>
      </c>
      <c r="E12" s="16" t="n">
        <f aca="false">12*Inputs!$B$23*(1+Inputs!$B$27)^(A12-1)</f>
        <v>66184.5316471256</v>
      </c>
      <c r="F12" s="16" t="n">
        <f aca="false">12*Inputs!$B$24*(1+Inputs!$B$27)^(A12-1)</f>
        <v>44123.0210980837</v>
      </c>
      <c r="G12" s="16" t="n">
        <f aca="false">12*Inputs!$B$25*(1+Inputs!$B$27)^(A12-1)</f>
        <v>11030.7552745209</v>
      </c>
      <c r="H12" s="16" t="n">
        <f aca="false">Inputs!$B$26*B11</f>
        <v>34904.8848595166</v>
      </c>
      <c r="I12" s="16" t="n">
        <f aca="false">SUM(D12:H12)</f>
        <v>641455.817946422</v>
      </c>
      <c r="J12" s="16" t="n">
        <f aca="false">12*Inputs!$B$30*(1+Inputs!$B$31)^(A12-1)</f>
        <v>527117.43520884</v>
      </c>
      <c r="K12" s="16" t="n">
        <f aca="false">I12-J12</f>
        <v>114338.382737581</v>
      </c>
      <c r="L12" s="16" t="n">
        <f aca="false">IF(K12&gt;0,K12*Inputs!$B$41,K12)</f>
        <v>85753.787053186</v>
      </c>
      <c r="M12" s="16" t="n">
        <f aca="false">MAX(0,M11*(1+Inputs!$B$43)+L12*(1+Inputs!$B$43)^0.5)</f>
        <v>4070992.41224282</v>
      </c>
      <c r="N12" s="16" t="n">
        <f aca="false">MAX(0,N11+L12)</f>
        <v>2299348.7821074</v>
      </c>
      <c r="O12" s="16" t="n">
        <f aca="false">IF(K12&lt;0,-K12*Inputs!$B$41,0)</f>
        <v>0</v>
      </c>
      <c r="P12" s="16" t="n">
        <f aca="false">P11*(1+Inputs!$B$43)+O12*(1+Inputs!$B$43)^0.5</f>
        <v>0</v>
      </c>
      <c r="Q12" s="16" t="n">
        <f aca="false">Q11+O12</f>
        <v>0</v>
      </c>
      <c r="R12" s="24" t="n">
        <f aca="false">B12*(1-Inputs!$B$46)-C12-MAX(0,B12*(1-Inputs!$B$46)-(Inputs!$B$6+Inputs!$B$10+Inputs!$B$11)-Inputs!$B$47)*Inputs!$B$48+P12-MAX(0,P12-Q12)*Inputs!$B$48</f>
        <v>3897892.00389426</v>
      </c>
      <c r="S12" s="24" t="n">
        <f aca="false">M12-MAX(0,M12-N12)*Inputs!$B$48</f>
        <v>3752096.55881845</v>
      </c>
      <c r="T12" s="24" t="n">
        <f aca="false">R12-S12</f>
        <v>145795.44507581</v>
      </c>
      <c r="U12" s="16" t="n">
        <f aca="false">R12/(1+Inputs!$B$38)^A12</f>
        <v>2509960.56287107</v>
      </c>
      <c r="V12" s="16" t="n">
        <f aca="false">S12/(1+Inputs!$B$38)^A12</f>
        <v>2416078.83987286</v>
      </c>
    </row>
    <row r="13" customFormat="false" ht="15" hidden="false" customHeight="false" outlineLevel="0" collapsed="false">
      <c r="A13" s="5" t="n">
        <v>11</v>
      </c>
      <c r="B13" s="16" t="n">
        <f aca="false">B12*(1+Inputs!$B$34)</f>
        <v>7696527.11152341</v>
      </c>
      <c r="C13" s="16" t="n">
        <f aca="false">IF(A13&gt;=Inputs!$B$19,0,MAX(0,-FV(Inputs!$B$18/12,12*A13,-Inputs!$B$20,Inputs!$B$9)))</f>
        <v>2817558.11853254</v>
      </c>
      <c r="D13" s="16" t="n">
        <f aca="false">IF(A13&lt;=Inputs!$B$19,12*Inputs!$B$20,0)</f>
        <v>485212.625067175</v>
      </c>
      <c r="E13" s="16" t="n">
        <f aca="false">12*Inputs!$B$23*(1+Inputs!$B$27)^(A13-1)</f>
        <v>70817.4488624244</v>
      </c>
      <c r="F13" s="16" t="n">
        <f aca="false">12*Inputs!$B$24*(1+Inputs!$B$27)^(A13-1)</f>
        <v>47211.6325749496</v>
      </c>
      <c r="G13" s="16" t="n">
        <f aca="false">12*Inputs!$B$25*(1+Inputs!$B$27)^(A13-1)</f>
        <v>11802.9081437374</v>
      </c>
      <c r="H13" s="16" t="n">
        <f aca="false">Inputs!$B$26*B12</f>
        <v>36650.1291024924</v>
      </c>
      <c r="I13" s="16" t="n">
        <f aca="false">SUM(D13:H13)</f>
        <v>651694.743750779</v>
      </c>
      <c r="J13" s="16" t="n">
        <f aca="false">12*Inputs!$B$30*(1+Inputs!$B$31)^(A13-1)</f>
        <v>558744.481321371</v>
      </c>
      <c r="K13" s="16" t="n">
        <f aca="false">I13-J13</f>
        <v>92950.262429408</v>
      </c>
      <c r="L13" s="16" t="n">
        <f aca="false">IF(K13&gt;0,K13*Inputs!$B$41,K13)</f>
        <v>69712.696822056</v>
      </c>
      <c r="M13" s="16" t="n">
        <f aca="false">MAX(0,M12*(1+Inputs!$B$43)+L13*(1+Inputs!$B$43)^0.5)</f>
        <v>4460910.2679362</v>
      </c>
      <c r="N13" s="16" t="n">
        <f aca="false">MAX(0,N12+L13)</f>
        <v>2369061.47892946</v>
      </c>
      <c r="O13" s="16" t="n">
        <f aca="false">IF(K13&lt;0,-K13*Inputs!$B$41,0)</f>
        <v>0</v>
      </c>
      <c r="P13" s="16" t="n">
        <f aca="false">P12*(1+Inputs!$B$43)+O13*(1+Inputs!$B$43)^0.5</f>
        <v>0</v>
      </c>
      <c r="Q13" s="16" t="n">
        <f aca="false">Q12+O13</f>
        <v>0</v>
      </c>
      <c r="R13" s="24" t="n">
        <f aca="false">B13*(1-Inputs!$B$46)-C13-MAX(0,B13*(1-Inputs!$B$46)-(Inputs!$B$6+Inputs!$B$10+Inputs!$B$11)-Inputs!$B$47)*Inputs!$B$48+P13-MAX(0,P13-Q13)*Inputs!$B$48</f>
        <v>4360166.93960833</v>
      </c>
      <c r="S13" s="24" t="n">
        <f aca="false">M13-MAX(0,M13-N13)*Inputs!$B$48</f>
        <v>4084377.48591498</v>
      </c>
      <c r="T13" s="24" t="n">
        <f aca="false">R13-S13</f>
        <v>275789.453693348</v>
      </c>
      <c r="U13" s="16" t="n">
        <f aca="false">R13/(1+Inputs!$B$38)^A13</f>
        <v>2686729.36907753</v>
      </c>
      <c r="V13" s="16" t="n">
        <f aca="false">S13/(1+Inputs!$B$38)^A13</f>
        <v>2516788.25554156</v>
      </c>
    </row>
    <row r="14" customFormat="false" ht="15" hidden="false" customHeight="false" outlineLevel="0" collapsed="false">
      <c r="A14" s="5" t="n">
        <v>12</v>
      </c>
      <c r="B14" s="16" t="n">
        <f aca="false">B13*(1+Inputs!$B$34)</f>
        <v>8081353.46709958</v>
      </c>
      <c r="C14" s="16" t="n">
        <f aca="false">IF(A14&gt;=Inputs!$B$19,0,MAX(0,-FV(Inputs!$B$18/12,12*A14,-Inputs!$B$20,Inputs!$B$9)))</f>
        <v>2618804.59756538</v>
      </c>
      <c r="D14" s="16" t="n">
        <f aca="false">IF(A14&lt;=Inputs!$B$19,12*Inputs!$B$20,0)</f>
        <v>485212.625067175</v>
      </c>
      <c r="E14" s="16" t="n">
        <f aca="false">12*Inputs!$B$23*(1+Inputs!$B$27)^(A14-1)</f>
        <v>75774.6702827941</v>
      </c>
      <c r="F14" s="16" t="n">
        <f aca="false">12*Inputs!$B$24*(1+Inputs!$B$27)^(A14-1)</f>
        <v>50516.4468551961</v>
      </c>
      <c r="G14" s="16" t="n">
        <f aca="false">12*Inputs!$B$25*(1+Inputs!$B$27)^(A14-1)</f>
        <v>12629.111713799</v>
      </c>
      <c r="H14" s="16" t="n">
        <f aca="false">Inputs!$B$26*B13</f>
        <v>38482.6355576171</v>
      </c>
      <c r="I14" s="16" t="n">
        <f aca="false">SUM(D14:H14)</f>
        <v>662615.489476581</v>
      </c>
      <c r="J14" s="16" t="n">
        <f aca="false">12*Inputs!$B$30*(1+Inputs!$B$31)^(A14-1)</f>
        <v>592269.150200653</v>
      </c>
      <c r="K14" s="16" t="n">
        <f aca="false">I14-J14</f>
        <v>70346.3392759281</v>
      </c>
      <c r="L14" s="16" t="n">
        <f aca="false">IF(K14&gt;0,K14*Inputs!$B$41,K14)</f>
        <v>52759.7544569461</v>
      </c>
      <c r="M14" s="16" t="n">
        <f aca="false">MAX(0,M13*(1+Inputs!$B$43)+L14*(1+Inputs!$B$43)^0.5)</f>
        <v>4863640.02240086</v>
      </c>
      <c r="N14" s="16" t="n">
        <f aca="false">MAX(0,N13+L14)</f>
        <v>2421821.23338641</v>
      </c>
      <c r="O14" s="16" t="n">
        <f aca="false">IF(K14&lt;0,-K14*Inputs!$B$41,0)</f>
        <v>0</v>
      </c>
      <c r="P14" s="16" t="n">
        <f aca="false">P13*(1+Inputs!$B$43)+O14*(1+Inputs!$B$43)^0.5</f>
        <v>0</v>
      </c>
      <c r="Q14" s="16" t="n">
        <f aca="false">Q13+O14</f>
        <v>0</v>
      </c>
      <c r="R14" s="24" t="n">
        <f aca="false">B14*(1-Inputs!$B$46)-C14-MAX(0,B14*(1-Inputs!$B$46)-(Inputs!$B$6+Inputs!$B$10+Inputs!$B$11)-Inputs!$B$47)*Inputs!$B$48+P14-MAX(0,P14-Q14)*Inputs!$B$48</f>
        <v>4856333.50948254</v>
      </c>
      <c r="S14" s="24" t="n">
        <f aca="false">M14-MAX(0,M14-N14)*Inputs!$B$48</f>
        <v>4424112.64037826</v>
      </c>
      <c r="T14" s="24" t="n">
        <f aca="false">R14-S14</f>
        <v>432220.86910428</v>
      </c>
      <c r="U14" s="16" t="n">
        <f aca="false">R14/(1+Inputs!$B$38)^A14</f>
        <v>2863604.38627862</v>
      </c>
      <c r="V14" s="16" t="n">
        <f aca="false">S14/(1+Inputs!$B$38)^A14</f>
        <v>2608739.35812695</v>
      </c>
    </row>
    <row r="15" customFormat="false" ht="15" hidden="false" customHeight="false" outlineLevel="0" collapsed="false">
      <c r="A15" s="5" t="n">
        <v>13</v>
      </c>
      <c r="B15" s="16" t="n">
        <f aca="false">B14*(1+Inputs!$B$34)</f>
        <v>8485421.14045456</v>
      </c>
      <c r="C15" s="16" t="n">
        <f aca="false">IF(A15&gt;=Inputs!$B$19,0,MAX(0,-FV(Inputs!$B$18/12,12*A15,-Inputs!$B$20,Inputs!$B$9)))</f>
        <v>2398147.75279818</v>
      </c>
      <c r="D15" s="16" t="n">
        <f aca="false">IF(A15&lt;=Inputs!$B$19,12*Inputs!$B$20,0)</f>
        <v>485212.625067175</v>
      </c>
      <c r="E15" s="16" t="n">
        <f aca="false">12*Inputs!$B$23*(1+Inputs!$B$27)^(A15-1)</f>
        <v>81078.8972025897</v>
      </c>
      <c r="F15" s="16" t="n">
        <f aca="false">12*Inputs!$B$24*(1+Inputs!$B$27)^(A15-1)</f>
        <v>54052.5981350598</v>
      </c>
      <c r="G15" s="16" t="n">
        <f aca="false">12*Inputs!$B$25*(1+Inputs!$B$27)^(A15-1)</f>
        <v>13513.1495337649</v>
      </c>
      <c r="H15" s="16" t="n">
        <f aca="false">Inputs!$B$26*B14</f>
        <v>40406.7673354979</v>
      </c>
      <c r="I15" s="16" t="n">
        <f aca="false">SUM(D15:H15)</f>
        <v>674264.037274087</v>
      </c>
      <c r="J15" s="16" t="n">
        <f aca="false">12*Inputs!$B$30*(1+Inputs!$B$31)^(A15-1)</f>
        <v>627805.299212692</v>
      </c>
      <c r="K15" s="16" t="n">
        <f aca="false">I15-J15</f>
        <v>46458.738061395</v>
      </c>
      <c r="L15" s="16" t="n">
        <f aca="false">IF(K15&gt;0,K15*Inputs!$B$41,K15)</f>
        <v>34844.0535460463</v>
      </c>
      <c r="M15" s="16" t="n">
        <f aca="false">MAX(0,M14*(1+Inputs!$B$43)+L15*(1+Inputs!$B$43)^0.5)</f>
        <v>5279181.40255507</v>
      </c>
      <c r="N15" s="16" t="n">
        <f aca="false">MAX(0,N14+L15)</f>
        <v>2456665.28693245</v>
      </c>
      <c r="O15" s="16" t="n">
        <f aca="false">IF(K15&lt;0,-K15*Inputs!$B$41,0)</f>
        <v>0</v>
      </c>
      <c r="P15" s="16" t="n">
        <f aca="false">P14*(1+Inputs!$B$43)+O15*(1+Inputs!$B$43)^0.5</f>
        <v>0</v>
      </c>
      <c r="Q15" s="16" t="n">
        <f aca="false">Q14+O15</f>
        <v>0</v>
      </c>
      <c r="R15" s="24" t="n">
        <f aca="false">B15*(1-Inputs!$B$46)-C15-MAX(0,B15*(1-Inputs!$B$46)-(Inputs!$B$6+Inputs!$B$10+Inputs!$B$11)-Inputs!$B$47)*Inputs!$B$48+P15-MAX(0,P15-Q15)*Inputs!$B$48</f>
        <v>5389274.05560212</v>
      </c>
      <c r="S15" s="24" t="n">
        <f aca="false">M15-MAX(0,M15-N15)*Inputs!$B$48</f>
        <v>4771128.501743</v>
      </c>
      <c r="T15" s="24" t="n">
        <f aca="false">R15-S15</f>
        <v>618145.553859124</v>
      </c>
      <c r="U15" s="16" t="n">
        <f aca="false">R15/(1+Inputs!$B$38)^A15</f>
        <v>3041014.51526045</v>
      </c>
      <c r="V15" s="16" t="n">
        <f aca="false">S15/(1+Inputs!$B$38)^A15</f>
        <v>2692212.50919523</v>
      </c>
    </row>
    <row r="16" customFormat="false" ht="15" hidden="false" customHeight="false" outlineLevel="0" collapsed="false">
      <c r="A16" s="5" t="n">
        <v>14</v>
      </c>
      <c r="B16" s="16" t="n">
        <f aca="false">B15*(1+Inputs!$B$34)</f>
        <v>8909692.19747729</v>
      </c>
      <c r="C16" s="16" t="n">
        <f aca="false">IF(A16&gt;=Inputs!$B$19,0,MAX(0,-FV(Inputs!$B$18/12,12*A16,-Inputs!$B$20,Inputs!$B$9)))</f>
        <v>2153173.76237183</v>
      </c>
      <c r="D16" s="16" t="n">
        <f aca="false">IF(A16&lt;=Inputs!$B$19,12*Inputs!$B$20,0)</f>
        <v>485212.625067175</v>
      </c>
      <c r="E16" s="16" t="n">
        <f aca="false">12*Inputs!$B$23*(1+Inputs!$B$27)^(A16-1)</f>
        <v>86754.420006771</v>
      </c>
      <c r="F16" s="16" t="n">
        <f aca="false">12*Inputs!$B$24*(1+Inputs!$B$27)^(A16-1)</f>
        <v>57836.280004514</v>
      </c>
      <c r="G16" s="16" t="n">
        <f aca="false">12*Inputs!$B$25*(1+Inputs!$B$27)^(A16-1)</f>
        <v>14459.0700011285</v>
      </c>
      <c r="H16" s="16" t="n">
        <f aca="false">Inputs!$B$26*B15</f>
        <v>42427.1057022728</v>
      </c>
      <c r="I16" s="16" t="n">
        <f aca="false">SUM(D16:H16)</f>
        <v>686689.500781861</v>
      </c>
      <c r="J16" s="16" t="n">
        <f aca="false">12*Inputs!$B$30*(1+Inputs!$B$31)^(A16-1)</f>
        <v>665473.617165454</v>
      </c>
      <c r="K16" s="16" t="n">
        <f aca="false">I16-J16</f>
        <v>21215.8836164074</v>
      </c>
      <c r="L16" s="16" t="n">
        <f aca="false">IF(K16&gt;0,K16*Inputs!$B$41,K16)</f>
        <v>15911.9127123056</v>
      </c>
      <c r="M16" s="16" t="n">
        <f aca="false">MAX(0,M15*(1+Inputs!$B$43)+L16*(1+Inputs!$B$43)^0.5)</f>
        <v>5707478.3783721</v>
      </c>
      <c r="N16" s="16" t="n">
        <f aca="false">MAX(0,N15+L16)</f>
        <v>2472577.19964476</v>
      </c>
      <c r="O16" s="16" t="n">
        <f aca="false">IF(K16&lt;0,-K16*Inputs!$B$41,0)</f>
        <v>0</v>
      </c>
      <c r="P16" s="16" t="n">
        <f aca="false">P15*(1+Inputs!$B$43)+O16*(1+Inputs!$B$43)^0.5</f>
        <v>0</v>
      </c>
      <c r="Q16" s="16" t="n">
        <f aca="false">Q15+O16</f>
        <v>0</v>
      </c>
      <c r="R16" s="24" t="n">
        <f aca="false">B16*(1-Inputs!$B$46)-C16-MAX(0,B16*(1-Inputs!$B$46)-(Inputs!$B$6+Inputs!$B$10+Inputs!$B$11)-Inputs!$B$47)*Inputs!$B$48+P16-MAX(0,P16-Q16)*Inputs!$B$48</f>
        <v>5962145.93244849</v>
      </c>
      <c r="S16" s="24" t="n">
        <f aca="false">M16-MAX(0,M16-N16)*Inputs!$B$48</f>
        <v>5125196.16620118</v>
      </c>
      <c r="T16" s="24" t="n">
        <f aca="false">R16-S16</f>
        <v>836949.766247312</v>
      </c>
      <c r="U16" s="16" t="n">
        <f aca="false">R16/(1+Inputs!$B$38)^A16</f>
        <v>3219397.00411741</v>
      </c>
      <c r="V16" s="16" t="n">
        <f aca="false">S16/(1+Inputs!$B$38)^A16</f>
        <v>2767466.8433025</v>
      </c>
    </row>
    <row r="17" customFormat="false" ht="15" hidden="false" customHeight="false" outlineLevel="0" collapsed="false">
      <c r="A17" s="5" t="n">
        <v>15</v>
      </c>
      <c r="B17" s="16" t="n">
        <f aca="false">B16*(1+Inputs!$B$34)</f>
        <v>9355176.80735116</v>
      </c>
      <c r="C17" s="16" t="n">
        <f aca="false">IF(A17&gt;=Inputs!$B$19,0,MAX(0,-FV(Inputs!$B$18/12,12*A17,-Inputs!$B$20,Inputs!$B$9)))</f>
        <v>1881202.79292955</v>
      </c>
      <c r="D17" s="16" t="n">
        <f aca="false">IF(A17&lt;=Inputs!$B$19,12*Inputs!$B$20,0)</f>
        <v>485212.625067175</v>
      </c>
      <c r="E17" s="16" t="n">
        <f aca="false">12*Inputs!$B$23*(1+Inputs!$B$27)^(A17-1)</f>
        <v>92827.229407245</v>
      </c>
      <c r="F17" s="16" t="n">
        <f aca="false">12*Inputs!$B$24*(1+Inputs!$B$27)^(A17-1)</f>
        <v>61884.81960483</v>
      </c>
      <c r="G17" s="16" t="n">
        <f aca="false">12*Inputs!$B$25*(1+Inputs!$B$27)^(A17-1)</f>
        <v>15471.2049012075</v>
      </c>
      <c r="H17" s="16" t="n">
        <f aca="false">Inputs!$B$26*B16</f>
        <v>44548.4609873865</v>
      </c>
      <c r="I17" s="16" t="n">
        <f aca="false">SUM(D17:H17)</f>
        <v>699944.339967844</v>
      </c>
      <c r="J17" s="16" t="n">
        <f aca="false">12*Inputs!$B$30*(1+Inputs!$B$31)^(A17-1)</f>
        <v>705402.034195381</v>
      </c>
      <c r="K17" s="16" t="n">
        <f aca="false">I17-J17</f>
        <v>-5457.69422753749</v>
      </c>
      <c r="L17" s="16" t="n">
        <f aca="false">IF(K17&gt;0,K17*Inputs!$B$41,K17)</f>
        <v>-5457.69422753749</v>
      </c>
      <c r="M17" s="16" t="n">
        <f aca="false">MAX(0,M16*(1+Inputs!$B$43)+L17*(1+Inputs!$B$43)^0.5)</f>
        <v>6146995.14377086</v>
      </c>
      <c r="N17" s="16" t="n">
        <f aca="false">MAX(0,N16+L17)</f>
        <v>2467119.50541722</v>
      </c>
      <c r="O17" s="16" t="n">
        <f aca="false">IF(K17&lt;0,-K17*Inputs!$B$41,0)</f>
        <v>4093.27067065312</v>
      </c>
      <c r="P17" s="16" t="n">
        <f aca="false">P16*(1+Inputs!$B$43)+O17*(1+Inputs!$B$43)^0.5</f>
        <v>4249.9110856959</v>
      </c>
      <c r="Q17" s="16" t="n">
        <f aca="false">Q16+O17</f>
        <v>4093.27067065312</v>
      </c>
      <c r="R17" s="24" t="n">
        <f aca="false">B17*(1-Inputs!$B$46)-C17-MAX(0,B17*(1-Inputs!$B$46)-(Inputs!$B$6+Inputs!$B$10+Inputs!$B$11)-Inputs!$B$47)*Inputs!$B$48+P17-MAX(0,P17-Q17)*Inputs!$B$48</f>
        <v>6582631.39844278</v>
      </c>
      <c r="S17" s="24" t="n">
        <f aca="false">M17-MAX(0,M17-N17)*Inputs!$B$48</f>
        <v>5484617.52886721</v>
      </c>
      <c r="T17" s="24" t="n">
        <f aca="false">R17-S17</f>
        <v>1098013.86957557</v>
      </c>
      <c r="U17" s="16" t="n">
        <f aca="false">R17/(1+Inputs!$B$38)^A17</f>
        <v>3401380.20780501</v>
      </c>
      <c r="V17" s="16" t="n">
        <f aca="false">S17/(1+Inputs!$B$38)^A17</f>
        <v>2834013.99544908</v>
      </c>
    </row>
    <row r="18" customFormat="false" ht="15" hidden="false" customHeight="false" outlineLevel="0" collapsed="false">
      <c r="A18" s="5" t="n">
        <v>16</v>
      </c>
      <c r="B18" s="16" t="n">
        <f aca="false">B17*(1+Inputs!$B$34)</f>
        <v>9822935.64771871</v>
      </c>
      <c r="C18" s="16" t="n">
        <f aca="false">IF(A18&gt;=Inputs!$B$19,0,MAX(0,-FV(Inputs!$B$18/12,12*A18,-Inputs!$B$20,Inputs!$B$9)))</f>
        <v>1579259.684232</v>
      </c>
      <c r="D18" s="16" t="n">
        <f aca="false">IF(A18&lt;=Inputs!$B$19,12*Inputs!$B$20,0)</f>
        <v>485212.625067175</v>
      </c>
      <c r="E18" s="16" t="n">
        <f aca="false">12*Inputs!$B$23*(1+Inputs!$B$27)^(A18-1)</f>
        <v>99325.1354657521</v>
      </c>
      <c r="F18" s="16" t="n">
        <f aca="false">12*Inputs!$B$24*(1+Inputs!$B$27)^(A18-1)</f>
        <v>66216.7569771681</v>
      </c>
      <c r="G18" s="16" t="n">
        <f aca="false">12*Inputs!$B$25*(1+Inputs!$B$27)^(A18-1)</f>
        <v>16554.189244292</v>
      </c>
      <c r="H18" s="16" t="n">
        <f aca="false">Inputs!$B$26*B17</f>
        <v>46775.8840367558</v>
      </c>
      <c r="I18" s="16" t="n">
        <f aca="false">SUM(D18:H18)</f>
        <v>714084.590791143</v>
      </c>
      <c r="J18" s="16" t="n">
        <f aca="false">12*Inputs!$B$30*(1+Inputs!$B$31)^(A18-1)</f>
        <v>747726.156247104</v>
      </c>
      <c r="K18" s="16" t="n">
        <f aca="false">I18-J18</f>
        <v>-33641.565455961</v>
      </c>
      <c r="L18" s="16" t="n">
        <f aca="false">IF(K18&gt;0,K18*Inputs!$B$41,K18)</f>
        <v>-33641.565455961</v>
      </c>
      <c r="M18" s="16" t="n">
        <f aca="false">MAX(0,M17*(1+Inputs!$B$43)+L18*(1+Inputs!$B$43)^0.5)</f>
        <v>6591531.81122767</v>
      </c>
      <c r="N18" s="16" t="n">
        <f aca="false">MAX(0,N17+L18)</f>
        <v>2433477.93996126</v>
      </c>
      <c r="O18" s="16" t="n">
        <f aca="false">IF(K18&lt;0,-K18*Inputs!$B$41,0)</f>
        <v>25231.1740919708</v>
      </c>
      <c r="P18" s="16" t="n">
        <f aca="false">P17*(1+Inputs!$B$43)+O18*(1+Inputs!$B$43)^0.5</f>
        <v>30778.1194683731</v>
      </c>
      <c r="Q18" s="16" t="n">
        <f aca="false">Q17+O18</f>
        <v>29324.4447626239</v>
      </c>
      <c r="R18" s="24" t="n">
        <f aca="false">B18*(1-Inputs!$B$46)-C18-MAX(0,B18*(1-Inputs!$B$46)-(Inputs!$B$6+Inputs!$B$10+Inputs!$B$11)-Inputs!$B$47)*Inputs!$B$48+P18-MAX(0,P18-Q18)*Inputs!$B$48</f>
        <v>7272376.66912875</v>
      </c>
      <c r="S18" s="24" t="n">
        <f aca="false">M18-MAX(0,M18-N18)*Inputs!$B$48</f>
        <v>5843082.11439971</v>
      </c>
      <c r="T18" s="24" t="n">
        <f aca="false">R18-S18</f>
        <v>1429294.55472903</v>
      </c>
      <c r="U18" s="16" t="n">
        <f aca="false">R18/(1+Inputs!$B$38)^A18</f>
        <v>3595967.1666594</v>
      </c>
      <c r="V18" s="16" t="n">
        <f aca="false">S18/(1+Inputs!$B$38)^A18</f>
        <v>2889224.8561148</v>
      </c>
    </row>
    <row r="19" customFormat="false" ht="15" hidden="false" customHeight="false" outlineLevel="0" collapsed="false">
      <c r="A19" s="5" t="n">
        <v>17</v>
      </c>
      <c r="B19" s="16" t="n">
        <f aca="false">B18*(1+Inputs!$B$34)</f>
        <v>10314082.4301046</v>
      </c>
      <c r="C19" s="16" t="n">
        <f aca="false">IF(A19&gt;=Inputs!$B$19,0,MAX(0,-FV(Inputs!$B$18/12,12*A19,-Inputs!$B$20,Inputs!$B$9)))</f>
        <v>1244041.40311582</v>
      </c>
      <c r="D19" s="16" t="n">
        <f aca="false">IF(A19&lt;=Inputs!$B$19,12*Inputs!$B$20,0)</f>
        <v>485212.625067175</v>
      </c>
      <c r="E19" s="16" t="n">
        <f aca="false">12*Inputs!$B$23*(1+Inputs!$B$27)^(A19-1)</f>
        <v>106277.894948355</v>
      </c>
      <c r="F19" s="16" t="n">
        <f aca="false">12*Inputs!$B$24*(1+Inputs!$B$27)^(A19-1)</f>
        <v>70851.9299655698</v>
      </c>
      <c r="G19" s="16" t="n">
        <f aca="false">12*Inputs!$B$25*(1+Inputs!$B$27)^(A19-1)</f>
        <v>17712.9824913925</v>
      </c>
      <c r="H19" s="16" t="n">
        <f aca="false">Inputs!$B$26*B18</f>
        <v>49114.6782385936</v>
      </c>
      <c r="I19" s="16" t="n">
        <f aca="false">SUM(D19:H19)</f>
        <v>729170.110711085</v>
      </c>
      <c r="J19" s="16" t="n">
        <f aca="false">12*Inputs!$B$30*(1+Inputs!$B$31)^(A19-1)</f>
        <v>792589.72562193</v>
      </c>
      <c r="K19" s="16" t="n">
        <f aca="false">I19-J19</f>
        <v>-63419.6149108447</v>
      </c>
      <c r="L19" s="16" t="n">
        <f aca="false">IF(K19&gt;0,K19*Inputs!$B$41,K19)</f>
        <v>-63419.6149108447</v>
      </c>
      <c r="M19" s="16" t="n">
        <f aca="false">MAX(0,M18*(1+Inputs!$B$43)+L19*(1+Inputs!$B$43)^0.5)</f>
        <v>7039824.74920187</v>
      </c>
      <c r="N19" s="16" t="n">
        <f aca="false">MAX(0,N18+L19)</f>
        <v>2370058.32505041</v>
      </c>
      <c r="O19" s="16" t="n">
        <f aca="false">IF(K19&lt;0,-K19*Inputs!$B$41,0)</f>
        <v>47564.7111831335</v>
      </c>
      <c r="P19" s="16" t="n">
        <f aca="false">P18*(1+Inputs!$B$43)+O19*(1+Inputs!$B$43)^0.5</f>
        <v>82563.7202630758</v>
      </c>
      <c r="Q19" s="16" t="n">
        <f aca="false">Q18+O19</f>
        <v>76889.1559457574</v>
      </c>
      <c r="R19" s="24" t="n">
        <f aca="false">B19*(1-Inputs!$B$46)-C19-MAX(0,B19*(1-Inputs!$B$46)-(Inputs!$B$6+Inputs!$B$10+Inputs!$B$11)-Inputs!$B$47)*Inputs!$B$48+P19-MAX(0,P19-Q19)*Inputs!$B$48</f>
        <v>8038203.58167651</v>
      </c>
      <c r="S19" s="24" t="n">
        <f aca="false">M19-MAX(0,M19-N19)*Inputs!$B$48</f>
        <v>6199266.7928546</v>
      </c>
      <c r="T19" s="24" t="n">
        <f aca="false">R19-S19</f>
        <v>1838936.78882191</v>
      </c>
      <c r="U19" s="16" t="n">
        <f aca="false">R19/(1+Inputs!$B$38)^A19</f>
        <v>3803488.11625016</v>
      </c>
      <c r="V19" s="16" t="n">
        <f aca="false">S19/(1+Inputs!$B$38)^A19</f>
        <v>2933346.65345325</v>
      </c>
    </row>
    <row r="20" customFormat="false" ht="15" hidden="false" customHeight="false" outlineLevel="0" collapsed="false">
      <c r="A20" s="5" t="n">
        <v>18</v>
      </c>
      <c r="B20" s="16" t="n">
        <f aca="false">B19*(1+Inputs!$B$34)</f>
        <v>10829786.5516099</v>
      </c>
      <c r="C20" s="16" t="n">
        <f aca="false">IF(A20&gt;=Inputs!$B$19,0,MAX(0,-FV(Inputs!$B$18/12,12*A20,-Inputs!$B$20,Inputs!$B$9)))</f>
        <v>871880.910766121</v>
      </c>
      <c r="D20" s="16" t="n">
        <f aca="false">IF(A20&lt;=Inputs!$B$19,12*Inputs!$B$20,0)</f>
        <v>485212.625067175</v>
      </c>
      <c r="E20" s="16" t="n">
        <f aca="false">12*Inputs!$B$23*(1+Inputs!$B$27)^(A20-1)</f>
        <v>113717.34759474</v>
      </c>
      <c r="F20" s="16" t="n">
        <f aca="false">12*Inputs!$B$24*(1+Inputs!$B$27)^(A20-1)</f>
        <v>75811.5650631597</v>
      </c>
      <c r="G20" s="16" t="n">
        <f aca="false">12*Inputs!$B$25*(1+Inputs!$B$27)^(A20-1)</f>
        <v>18952.8912657899</v>
      </c>
      <c r="H20" s="16" t="n">
        <f aca="false">Inputs!$B$26*B19</f>
        <v>51570.4121505233</v>
      </c>
      <c r="I20" s="16" t="n">
        <f aca="false">SUM(D20:H20)</f>
        <v>745264.841141387</v>
      </c>
      <c r="J20" s="16" t="n">
        <f aca="false">12*Inputs!$B$30*(1+Inputs!$B$31)^(A20-1)</f>
        <v>840145.109159246</v>
      </c>
      <c r="K20" s="16" t="n">
        <f aca="false">I20-J20</f>
        <v>-94880.2680178586</v>
      </c>
      <c r="L20" s="16" t="n">
        <f aca="false">IF(K20&gt;0,K20*Inputs!$B$41,K20)</f>
        <v>-94880.2680178586</v>
      </c>
      <c r="M20" s="16" t="n">
        <f aca="false">MAX(0,M19*(1+Inputs!$B$43)+L20*(1+Inputs!$B$43)^0.5)</f>
        <v>7490419.95362151</v>
      </c>
      <c r="N20" s="16" t="n">
        <f aca="false">MAX(0,N19+L20)</f>
        <v>2275178.05703255</v>
      </c>
      <c r="O20" s="16" t="n">
        <f aca="false">IF(K20&lt;0,-K20*Inputs!$B$41,0)</f>
        <v>71160.201013394</v>
      </c>
      <c r="P20" s="16" t="n">
        <f aca="false">P19*(1+Inputs!$B$43)+O20*(1+Inputs!$B$43)^0.5</f>
        <v>162887.03495717</v>
      </c>
      <c r="Q20" s="16" t="n">
        <f aca="false">Q19+O20</f>
        <v>148049.356959151</v>
      </c>
      <c r="R20" s="24" t="n">
        <f aca="false">B20*(1-Inputs!$B$46)-C20-MAX(0,B20*(1-Inputs!$B$46)-(Inputs!$B$6+Inputs!$B$10+Inputs!$B$11)-Inputs!$B$47)*Inputs!$B$48+P20-MAX(0,P20-Q20)*Inputs!$B$48</f>
        <v>8887599.9585631</v>
      </c>
      <c r="S20" s="24" t="n">
        <f aca="false">M20-MAX(0,M20-N20)*Inputs!$B$48</f>
        <v>6551676.4122355</v>
      </c>
      <c r="T20" s="24" t="n">
        <f aca="false">R20-S20</f>
        <v>2335923.5463276</v>
      </c>
      <c r="U20" s="16" t="n">
        <f aca="false">R20/(1+Inputs!$B$38)^A20</f>
        <v>4024308.53940247</v>
      </c>
      <c r="V20" s="16" t="n">
        <f aca="false">S20/(1+Inputs!$B$38)^A20</f>
        <v>2966601.4960268</v>
      </c>
    </row>
    <row r="21" customFormat="false" ht="15" hidden="false" customHeight="false" outlineLevel="0" collapsed="false">
      <c r="A21" s="5" t="n">
        <v>19</v>
      </c>
      <c r="B21" s="16" t="n">
        <f aca="false">B20*(1+Inputs!$B$34)</f>
        <v>11371275.8791904</v>
      </c>
      <c r="C21" s="16" t="n">
        <f aca="false">IF(A21&gt;=Inputs!$B$19,0,MAX(0,-FV(Inputs!$B$18/12,12*A21,-Inputs!$B$20,Inputs!$B$9)))</f>
        <v>458707.04803763</v>
      </c>
      <c r="D21" s="16" t="n">
        <f aca="false">IF(A21&lt;=Inputs!$B$19,12*Inputs!$B$20,0)</f>
        <v>485212.625067175</v>
      </c>
      <c r="E21" s="16" t="n">
        <f aca="false">12*Inputs!$B$23*(1+Inputs!$B$27)^(A21-1)</f>
        <v>121677.561926371</v>
      </c>
      <c r="F21" s="16" t="n">
        <f aca="false">12*Inputs!$B$24*(1+Inputs!$B$27)^(A21-1)</f>
        <v>81118.3746175809</v>
      </c>
      <c r="G21" s="16" t="n">
        <f aca="false">12*Inputs!$B$25*(1+Inputs!$B$27)^(A21-1)</f>
        <v>20279.5936543952</v>
      </c>
      <c r="H21" s="16" t="n">
        <f aca="false">Inputs!$B$26*B20</f>
        <v>54148.9327580494</v>
      </c>
      <c r="I21" s="16" t="n">
        <f aca="false">SUM(D21:H21)</f>
        <v>762437.088023572</v>
      </c>
      <c r="J21" s="16" t="n">
        <f aca="false">12*Inputs!$B$30*(1+Inputs!$B$31)^(A21-1)</f>
        <v>890553.815708801</v>
      </c>
      <c r="K21" s="16" t="n">
        <f aca="false">I21-J21</f>
        <v>-128116.727685229</v>
      </c>
      <c r="L21" s="16" t="n">
        <f aca="false">IF(K21&gt;0,K21*Inputs!$B$41,K21)</f>
        <v>-128116.727685229</v>
      </c>
      <c r="M21" s="16" t="n">
        <f aca="false">MAX(0,M20*(1+Inputs!$B$43)+L21*(1+Inputs!$B$43)^0.5)</f>
        <v>7941653.23851967</v>
      </c>
      <c r="N21" s="16" t="n">
        <f aca="false">MAX(0,N20+L21)</f>
        <v>2147061.32934733</v>
      </c>
      <c r="O21" s="16" t="n">
        <f aca="false">IF(K21&lt;0,-K21*Inputs!$B$41,0)</f>
        <v>96087.5457639217</v>
      </c>
      <c r="P21" s="16" t="n">
        <f aca="false">P20*(1+Inputs!$B$43)+O21*(1+Inputs!$B$43)^0.5</f>
        <v>275356.827297067</v>
      </c>
      <c r="Q21" s="16" t="n">
        <f aca="false">Q20+O21</f>
        <v>244136.902723073</v>
      </c>
      <c r="R21" s="24" t="n">
        <f aca="false">B21*(1-Inputs!$B$46)-C21-MAX(0,B21*(1-Inputs!$B$46)-(Inputs!$B$6+Inputs!$B$10+Inputs!$B$11)-Inputs!$B$47)*Inputs!$B$48+P21-MAX(0,P21-Q21)*Inputs!$B$48</f>
        <v>9828784.8360684</v>
      </c>
      <c r="S21" s="24" t="n">
        <f aca="false">M21-MAX(0,M21-N21)*Inputs!$B$48</f>
        <v>6898626.69486865</v>
      </c>
      <c r="T21" s="24" t="n">
        <f aca="false">R21-S21</f>
        <v>2930158.14119975</v>
      </c>
      <c r="U21" s="16" t="n">
        <f aca="false">R21/(1+Inputs!$B$38)^A21</f>
        <v>4258830.04697621</v>
      </c>
      <c r="V21" s="16" t="n">
        <f aca="false">S21/(1+Inputs!$B$38)^A21</f>
        <v>2989187.2841863</v>
      </c>
    </row>
    <row r="22" customFormat="false" ht="15" hidden="false" customHeight="false" outlineLevel="0" collapsed="false">
      <c r="A22" s="5" t="n">
        <v>20</v>
      </c>
      <c r="B22" s="16" t="n">
        <f aca="false">B21*(1+Inputs!$B$34)</f>
        <v>11939839.6731499</v>
      </c>
      <c r="C22" s="16" t="n">
        <f aca="false">IF(A22&gt;=Inputs!$B$19,0,MAX(0,-FV(Inputs!$B$18/12,12*A22,-Inputs!$B$20,Inputs!$B$9)))</f>
        <v>0</v>
      </c>
      <c r="D22" s="16" t="n">
        <f aca="false">IF(A22&lt;=Inputs!$B$19,12*Inputs!$B$20,0)</f>
        <v>485212.625067175</v>
      </c>
      <c r="E22" s="16" t="n">
        <f aca="false">12*Inputs!$B$23*(1+Inputs!$B$27)^(A22-1)</f>
        <v>130194.991261217</v>
      </c>
      <c r="F22" s="16" t="n">
        <f aca="false">12*Inputs!$B$24*(1+Inputs!$B$27)^(A22-1)</f>
        <v>86796.6608408116</v>
      </c>
      <c r="G22" s="16" t="n">
        <f aca="false">12*Inputs!$B$25*(1+Inputs!$B$27)^(A22-1)</f>
        <v>21699.1652102029</v>
      </c>
      <c r="H22" s="16" t="n">
        <f aca="false">Inputs!$B$26*B21</f>
        <v>56856.3793959519</v>
      </c>
      <c r="I22" s="16" t="n">
        <f aca="false">SUM(D22:H22)</f>
        <v>780759.821775359</v>
      </c>
      <c r="J22" s="16" t="n">
        <f aca="false">12*Inputs!$B$30*(1+Inputs!$B$31)^(A22-1)</f>
        <v>943987.044651329</v>
      </c>
      <c r="K22" s="16" t="n">
        <f aca="false">I22-J22</f>
        <v>-163227.22287597</v>
      </c>
      <c r="L22" s="16" t="n">
        <f aca="false">IF(K22&gt;0,K22*Inputs!$B$41,K22)</f>
        <v>-163227.22287597</v>
      </c>
      <c r="M22" s="16" t="n">
        <f aca="false">MAX(0,M21*(1+Inputs!$B$43)+L22*(1+Inputs!$B$43)^0.5)</f>
        <v>8391628.62345583</v>
      </c>
      <c r="N22" s="16" t="n">
        <f aca="false">MAX(0,N21+L22)</f>
        <v>1983834.10647136</v>
      </c>
      <c r="O22" s="16" t="n">
        <f aca="false">IF(K22&lt;0,-K22*Inputs!$B$41,0)</f>
        <v>122420.417156978</v>
      </c>
      <c r="P22" s="16" t="n">
        <f aca="false">P21*(1+Inputs!$B$43)+O22*(1+Inputs!$B$43)^0.5</f>
        <v>423939.835577526</v>
      </c>
      <c r="Q22" s="16" t="n">
        <f aca="false">Q21+O22</f>
        <v>366557.319880051</v>
      </c>
      <c r="R22" s="24" t="n">
        <f aca="false">B22*(1-Inputs!$B$46)-C22-MAX(0,B22*(1-Inputs!$B$46)-(Inputs!$B$6+Inputs!$B$10+Inputs!$B$11)-Inputs!$B$47)*Inputs!$B$48+P22-MAX(0,P22-Q22)*Inputs!$B$48</f>
        <v>10870780.1541459</v>
      </c>
      <c r="S22" s="24" t="n">
        <f aca="false">M22-MAX(0,M22-N22)*Inputs!$B$48</f>
        <v>7238225.61039862</v>
      </c>
      <c r="T22" s="24" t="n">
        <f aca="false">R22-S22</f>
        <v>3632554.54374725</v>
      </c>
      <c r="U22" s="16" t="n">
        <f aca="false">R22/(1+Inputs!$B$38)^A22</f>
        <v>4507491.37011747</v>
      </c>
      <c r="V22" s="16" t="n">
        <f aca="false">S22/(1+Inputs!$B$38)^A22</f>
        <v>3001278.56613788</v>
      </c>
    </row>
    <row r="23" customFormat="false" ht="15" hidden="false" customHeight="false" outlineLevel="0" collapsed="false">
      <c r="A23" s="5" t="n">
        <v>21</v>
      </c>
      <c r="B23" s="16" t="n">
        <f aca="false">B22*(1+Inputs!$B$34)</f>
        <v>12536831.6568074</v>
      </c>
      <c r="C23" s="16" t="n">
        <f aca="false">IF(A23&gt;=Inputs!$B$19,0,MAX(0,-FV(Inputs!$B$18/12,12*A23,-Inputs!$B$20,Inputs!$B$9)))</f>
        <v>0</v>
      </c>
      <c r="D23" s="16" t="n">
        <f aca="false">IF(A23&lt;=Inputs!$B$19,12*Inputs!$B$20,0)</f>
        <v>0</v>
      </c>
      <c r="E23" s="16" t="n">
        <f aca="false">12*Inputs!$B$23*(1+Inputs!$B$27)^(A23-1)</f>
        <v>139308.640649503</v>
      </c>
      <c r="F23" s="16" t="n">
        <f aca="false">12*Inputs!$B$24*(1+Inputs!$B$27)^(A23-1)</f>
        <v>92872.4270996684</v>
      </c>
      <c r="G23" s="16" t="n">
        <f aca="false">12*Inputs!$B$25*(1+Inputs!$B$27)^(A23-1)</f>
        <v>23218.1067749171</v>
      </c>
      <c r="H23" s="16" t="n">
        <f aca="false">Inputs!$B$26*B22</f>
        <v>59699.1983657495</v>
      </c>
      <c r="I23" s="16" t="n">
        <f aca="false">SUM(D23:H23)</f>
        <v>315098.372889838</v>
      </c>
      <c r="J23" s="16" t="n">
        <f aca="false">12*Inputs!$B$30*(1+Inputs!$B$31)^(A23-1)</f>
        <v>1000626.26733041</v>
      </c>
      <c r="K23" s="16" t="n">
        <f aca="false">I23-J23</f>
        <v>-685527.894440571</v>
      </c>
      <c r="L23" s="16" t="n">
        <f aca="false">IF(K23&gt;0,K23*Inputs!$B$41,K23)</f>
        <v>-685527.894440571</v>
      </c>
      <c r="M23" s="16" t="n">
        <f aca="false">MAX(0,M22*(1+Inputs!$B$43)+L23*(1+Inputs!$B$43)^0.5)</f>
        <v>8334414.1253797</v>
      </c>
      <c r="N23" s="16" t="n">
        <f aca="false">MAX(0,N22+L23)</f>
        <v>1298306.21203078</v>
      </c>
      <c r="O23" s="16" t="n">
        <f aca="false">IF(K23&lt;0,-K23*Inputs!$B$41,0)</f>
        <v>514145.920830428</v>
      </c>
      <c r="P23" s="16" t="n">
        <f aca="false">P22*(1+Inputs!$B$43)+O23*(1+Inputs!$B$43)^0.5</f>
        <v>990828.290781837</v>
      </c>
      <c r="Q23" s="16" t="n">
        <f aca="false">Q22+O23</f>
        <v>880703.240710479</v>
      </c>
      <c r="R23" s="24" t="n">
        <f aca="false">B23*(1-Inputs!$B$46)-C23-MAX(0,B23*(1-Inputs!$B$46)-(Inputs!$B$6+Inputs!$B$10+Inputs!$B$11)-Inputs!$B$47)*Inputs!$B$48+P23-MAX(0,P23-Q23)*Inputs!$B$48</f>
        <v>11889560.2077326</v>
      </c>
      <c r="S23" s="24" t="n">
        <f aca="false">M23-MAX(0,M23-N23)*Inputs!$B$48</f>
        <v>7067914.70097689</v>
      </c>
      <c r="T23" s="24" t="n">
        <f aca="false">R23-S23</f>
        <v>4821645.50675569</v>
      </c>
      <c r="U23" s="16" t="n">
        <f aca="false">R23/(1+Inputs!$B$38)^A23</f>
        <v>4717627.98557538</v>
      </c>
      <c r="V23" s="16" t="n">
        <f aca="false">S23/(1+Inputs!$B$38)^A23</f>
        <v>2804459.67810504</v>
      </c>
    </row>
    <row r="24" customFormat="false" ht="15" hidden="false" customHeight="false" outlineLevel="0" collapsed="false">
      <c r="A24" s="5" t="n">
        <v>22</v>
      </c>
      <c r="B24" s="16" t="n">
        <f aca="false">B23*(1+Inputs!$B$34)</f>
        <v>13163673.2396478</v>
      </c>
      <c r="C24" s="16" t="n">
        <f aca="false">IF(A24&gt;=Inputs!$B$19,0,MAX(0,-FV(Inputs!$B$18/12,12*A24,-Inputs!$B$20,Inputs!$B$9)))</f>
        <v>0</v>
      </c>
      <c r="D24" s="16" t="n">
        <f aca="false">IF(A24&lt;=Inputs!$B$19,12*Inputs!$B$20,0)</f>
        <v>0</v>
      </c>
      <c r="E24" s="16" t="n">
        <f aca="false">12*Inputs!$B$23*(1+Inputs!$B$27)^(A24-1)</f>
        <v>149060.245494968</v>
      </c>
      <c r="F24" s="16" t="n">
        <f aca="false">12*Inputs!$B$24*(1+Inputs!$B$27)^(A24-1)</f>
        <v>99373.4969966452</v>
      </c>
      <c r="G24" s="16" t="n">
        <f aca="false">12*Inputs!$B$25*(1+Inputs!$B$27)^(A24-1)</f>
        <v>24843.3742491613</v>
      </c>
      <c r="H24" s="16" t="n">
        <f aca="false">Inputs!$B$26*B23</f>
        <v>62684.158284037</v>
      </c>
      <c r="I24" s="16" t="n">
        <f aca="false">SUM(D24:H24)</f>
        <v>335961.275024811</v>
      </c>
      <c r="J24" s="16" t="n">
        <f aca="false">12*Inputs!$B$30*(1+Inputs!$B$31)^(A24-1)</f>
        <v>1060663.84337023</v>
      </c>
      <c r="K24" s="16" t="n">
        <f aca="false">I24-J24</f>
        <v>-724702.568345422</v>
      </c>
      <c r="L24" s="16" t="n">
        <f aca="false">IF(K24&gt;0,K24*Inputs!$B$41,K24)</f>
        <v>-724702.568345422</v>
      </c>
      <c r="M24" s="16" t="n">
        <f aca="false">MAX(0,M23*(1+Inputs!$B$43)+L24*(1+Inputs!$B$43)^0.5)</f>
        <v>8232063.09442524</v>
      </c>
      <c r="N24" s="16" t="n">
        <f aca="false">MAX(0,N23+L24)</f>
        <v>573603.643685362</v>
      </c>
      <c r="O24" s="16" t="n">
        <f aca="false">IF(K24&lt;0,-K24*Inputs!$B$41,0)</f>
        <v>543526.926259066</v>
      </c>
      <c r="P24" s="16" t="n">
        <f aca="false">P23*(1+Inputs!$B$43)+O24*(1+Inputs!$B$43)^0.5</f>
        <v>1632439.39701337</v>
      </c>
      <c r="Q24" s="16" t="n">
        <f aca="false">Q23+O24</f>
        <v>1424230.16696955</v>
      </c>
      <c r="R24" s="24" t="n">
        <f aca="false">B24*(1-Inputs!$B$46)-C24-MAX(0,B24*(1-Inputs!$B$46)-(Inputs!$B$6+Inputs!$B$10+Inputs!$B$11)-Inputs!$B$47)*Inputs!$B$48+P24-MAX(0,P24-Q24)*Inputs!$B$48</f>
        <v>12997970.6788673</v>
      </c>
      <c r="S24" s="24" t="n">
        <f aca="false">M24-MAX(0,M24-N24)*Inputs!$B$48</f>
        <v>6853540.39329206</v>
      </c>
      <c r="T24" s="24" t="n">
        <f aca="false">R24-S24</f>
        <v>6144430.28557519</v>
      </c>
      <c r="U24" s="16" t="n">
        <f aca="false">R24/(1+Inputs!$B$38)^A24</f>
        <v>4935340.97880717</v>
      </c>
      <c r="V24" s="16" t="n">
        <f aca="false">S24/(1+Inputs!$B$38)^A24</f>
        <v>2602295.35737591</v>
      </c>
    </row>
    <row r="25" customFormat="false" ht="15" hidden="false" customHeight="false" outlineLevel="0" collapsed="false">
      <c r="A25" s="5" t="n">
        <v>23</v>
      </c>
      <c r="B25" s="16" t="n">
        <f aca="false">B24*(1+Inputs!$B$34)</f>
        <v>13821856.9016302</v>
      </c>
      <c r="C25" s="16" t="n">
        <f aca="false">IF(A25&gt;=Inputs!$B$19,0,MAX(0,-FV(Inputs!$B$18/12,12*A25,-Inputs!$B$20,Inputs!$B$9)))</f>
        <v>0</v>
      </c>
      <c r="D25" s="16" t="n">
        <f aca="false">IF(A25&lt;=Inputs!$B$19,12*Inputs!$B$20,0)</f>
        <v>0</v>
      </c>
      <c r="E25" s="16" t="n">
        <f aca="false">12*Inputs!$B$23*(1+Inputs!$B$27)^(A25-1)</f>
        <v>159494.462679616</v>
      </c>
      <c r="F25" s="16" t="n">
        <f aca="false">12*Inputs!$B$24*(1+Inputs!$B$27)^(A25-1)</f>
        <v>106329.64178641</v>
      </c>
      <c r="G25" s="16" t="n">
        <f aca="false">12*Inputs!$B$25*(1+Inputs!$B$27)^(A25-1)</f>
        <v>26582.4104466026</v>
      </c>
      <c r="H25" s="16" t="n">
        <f aca="false">Inputs!$B$26*B24</f>
        <v>65818.3661982388</v>
      </c>
      <c r="I25" s="16" t="n">
        <f aca="false">SUM(D25:H25)</f>
        <v>358224.881110867</v>
      </c>
      <c r="J25" s="16" t="n">
        <f aca="false">12*Inputs!$B$30*(1+Inputs!$B$31)^(A25-1)</f>
        <v>1124303.67397245</v>
      </c>
      <c r="K25" s="16" t="n">
        <f aca="false">I25-J25</f>
        <v>-766078.79286158</v>
      </c>
      <c r="L25" s="16" t="n">
        <f aca="false">IF(K25&gt;0,K25*Inputs!$B$41,K25)</f>
        <v>-766078.79286158</v>
      </c>
      <c r="M25" s="16" t="n">
        <f aca="false">MAX(0,M24*(1+Inputs!$B$43)+L25*(1+Inputs!$B$43)^0.5)</f>
        <v>8078769.08194415</v>
      </c>
      <c r="N25" s="16" t="n">
        <f aca="false">MAX(0,N24+L25)</f>
        <v>0</v>
      </c>
      <c r="O25" s="16" t="n">
        <f aca="false">IF(K25&lt;0,-K25*Inputs!$B$41,0)</f>
        <v>574559.094646185</v>
      </c>
      <c r="P25" s="16" t="n">
        <f aca="false">P24*(1+Inputs!$B$43)+O25*(1+Inputs!$B$43)^0.5</f>
        <v>2356315.87036511</v>
      </c>
      <c r="Q25" s="16" t="n">
        <f aca="false">Q24+O25</f>
        <v>1998789.26161573</v>
      </c>
      <c r="R25" s="24" t="n">
        <f aca="false">B25*(1-Inputs!$B$46)-C25-MAX(0,B25*(1-Inputs!$B$46)-(Inputs!$B$6+Inputs!$B$10+Inputs!$B$11)-Inputs!$B$47)*Inputs!$B$48+P25-MAX(0,P25-Q25)*Inputs!$B$48</f>
        <v>14203647.2672151</v>
      </c>
      <c r="S25" s="24" t="n">
        <f aca="false">M25-MAX(0,M25-N25)*Inputs!$B$48</f>
        <v>6624590.64719421</v>
      </c>
      <c r="T25" s="24" t="n">
        <f aca="false">R25-S25</f>
        <v>7579056.62002088</v>
      </c>
      <c r="U25" s="16" t="n">
        <f aca="false">R25/(1+Inputs!$B$38)^A25</f>
        <v>5160897.07870464</v>
      </c>
      <c r="V25" s="16" t="n">
        <f aca="false">S25/(1+Inputs!$B$38)^A25</f>
        <v>2407045.87177643</v>
      </c>
    </row>
    <row r="26" customFormat="false" ht="15" hidden="false" customHeight="false" outlineLevel="0" collapsed="false">
      <c r="A26" s="5" t="n">
        <v>24</v>
      </c>
      <c r="B26" s="16" t="n">
        <f aca="false">B25*(1+Inputs!$B$34)</f>
        <v>14512949.7467117</v>
      </c>
      <c r="C26" s="16" t="n">
        <f aca="false">IF(A26&gt;=Inputs!$B$19,0,MAX(0,-FV(Inputs!$B$18/12,12*A26,-Inputs!$B$20,Inputs!$B$9)))</f>
        <v>0</v>
      </c>
      <c r="D26" s="16" t="n">
        <f aca="false">IF(A26&lt;=Inputs!$B$19,12*Inputs!$B$20,0)</f>
        <v>0</v>
      </c>
      <c r="E26" s="16" t="n">
        <f aca="false">12*Inputs!$B$23*(1+Inputs!$B$27)^(A26-1)</f>
        <v>170659.075067189</v>
      </c>
      <c r="F26" s="16" t="n">
        <f aca="false">12*Inputs!$B$24*(1+Inputs!$B$27)^(A26-1)</f>
        <v>113772.716711459</v>
      </c>
      <c r="G26" s="16" t="n">
        <f aca="false">12*Inputs!$B$25*(1+Inputs!$B$27)^(A26-1)</f>
        <v>28443.1791778648</v>
      </c>
      <c r="H26" s="16" t="n">
        <f aca="false">Inputs!$B$26*B25</f>
        <v>69109.2845081508</v>
      </c>
      <c r="I26" s="16" t="n">
        <f aca="false">SUM(D26:H26)</f>
        <v>381984.255464663</v>
      </c>
      <c r="J26" s="16" t="n">
        <f aca="false">12*Inputs!$B$30*(1+Inputs!$B$31)^(A26-1)</f>
        <v>1191761.89441079</v>
      </c>
      <c r="K26" s="16" t="n">
        <f aca="false">I26-J26</f>
        <v>-809777.638946131</v>
      </c>
      <c r="L26" s="16" t="n">
        <f aca="false">IF(K26&gt;0,K26*Inputs!$B$41,K26)</f>
        <v>-809777.638946131</v>
      </c>
      <c r="M26" s="16" t="n">
        <f aca="false">MAX(0,M25*(1+Inputs!$B$43)+L26*(1+Inputs!$B$43)^0.5)</f>
        <v>7868147.03221873</v>
      </c>
      <c r="N26" s="16" t="n">
        <f aca="false">MAX(0,N25+L26)</f>
        <v>0</v>
      </c>
      <c r="O26" s="16" t="n">
        <f aca="false">IF(K26&lt;0,-K26*Inputs!$B$41,0)</f>
        <v>607333.229209598</v>
      </c>
      <c r="P26" s="16" t="n">
        <f aca="false">P25*(1+Inputs!$B$43)+O26*(1+Inputs!$B$43)^0.5</f>
        <v>3170683.03684139</v>
      </c>
      <c r="Q26" s="16" t="n">
        <f aca="false">Q25+O26</f>
        <v>2606122.49082533</v>
      </c>
      <c r="R26" s="24" t="n">
        <f aca="false">B26*(1-Inputs!$B$46)-C26-MAX(0,B26*(1-Inputs!$B$46)-(Inputs!$B$6+Inputs!$B$10+Inputs!$B$11)-Inputs!$B$47)*Inputs!$B$48+P26-MAX(0,P26-Q26)*Inputs!$B$48</f>
        <v>15514859.4303046</v>
      </c>
      <c r="S26" s="24" t="n">
        <f aca="false">M26-MAX(0,M26-N26)*Inputs!$B$48</f>
        <v>6451880.56641936</v>
      </c>
      <c r="T26" s="24" t="n">
        <f aca="false">R26-S26</f>
        <v>9062978.86388524</v>
      </c>
      <c r="U26" s="16" t="n">
        <f aca="false">R26/(1+Inputs!$B$38)^A26</f>
        <v>5394570.51522235</v>
      </c>
      <c r="V26" s="16" t="n">
        <f aca="false">S26/(1+Inputs!$B$38)^A26</f>
        <v>2243341.28373464</v>
      </c>
    </row>
    <row r="27" customFormat="false" ht="15" hidden="false" customHeight="false" outlineLevel="0" collapsed="false">
      <c r="A27" s="5" t="n">
        <v>25</v>
      </c>
      <c r="B27" s="16" t="n">
        <f aca="false">B26*(1+Inputs!$B$34)</f>
        <v>15238597.2340472</v>
      </c>
      <c r="C27" s="16" t="n">
        <f aca="false">IF(A27&gt;=Inputs!$B$19,0,MAX(0,-FV(Inputs!$B$18/12,12*A27,-Inputs!$B$20,Inputs!$B$9)))</f>
        <v>0</v>
      </c>
      <c r="D27" s="16" t="n">
        <f aca="false">IF(A27&lt;=Inputs!$B$19,12*Inputs!$B$20,0)</f>
        <v>0</v>
      </c>
      <c r="E27" s="16" t="n">
        <f aca="false">12*Inputs!$B$23*(1+Inputs!$B$27)^(A27-1)</f>
        <v>182605.210321892</v>
      </c>
      <c r="F27" s="16" t="n">
        <f aca="false">12*Inputs!$B$24*(1+Inputs!$B$27)^(A27-1)</f>
        <v>121736.806881261</v>
      </c>
      <c r="G27" s="16" t="n">
        <f aca="false">12*Inputs!$B$25*(1+Inputs!$B$27)^(A27-1)</f>
        <v>30434.2017203153</v>
      </c>
      <c r="H27" s="16" t="n">
        <f aca="false">Inputs!$B$26*B26</f>
        <v>72564.7487335583</v>
      </c>
      <c r="I27" s="16" t="n">
        <f aca="false">SUM(D27:H27)</f>
        <v>407340.967657027</v>
      </c>
      <c r="J27" s="16" t="n">
        <f aca="false">12*Inputs!$B$30*(1+Inputs!$B$31)^(A27-1)</f>
        <v>1263267.60807544</v>
      </c>
      <c r="K27" s="16" t="n">
        <f aca="false">I27-J27</f>
        <v>-855926.640418415</v>
      </c>
      <c r="L27" s="16" t="n">
        <f aca="false">IF(K27&gt;0,K27*Inputs!$B$41,K27)</f>
        <v>-855926.640418415</v>
      </c>
      <c r="M27" s="16" t="n">
        <f aca="false">MAX(0,M26*(1+Inputs!$B$43)+L27*(1+Inputs!$B$43)^0.5)</f>
        <v>7593181.44092876</v>
      </c>
      <c r="N27" s="16" t="n">
        <f aca="false">MAX(0,N26+L27)</f>
        <v>0</v>
      </c>
      <c r="O27" s="16" t="n">
        <f aca="false">IF(K27&lt;0,-K27*Inputs!$B$41,0)</f>
        <v>641944.980313811</v>
      </c>
      <c r="P27" s="16" t="n">
        <f aca="false">P26*(1+Inputs!$B$43)+O27*(1+Inputs!$B$43)^0.5</f>
        <v>4084507.10856729</v>
      </c>
      <c r="Q27" s="16" t="n">
        <f aca="false">Q26+O27</f>
        <v>3248067.47113914</v>
      </c>
      <c r="R27" s="24" t="n">
        <f aca="false">B27*(1-Inputs!$B$46)-C27-MAX(0,B27*(1-Inputs!$B$46)-(Inputs!$B$6+Inputs!$B$10+Inputs!$B$11)-Inputs!$B$47)*Inputs!$B$48+P27-MAX(0,P27-Q27)*Inputs!$B$48</f>
        <v>16940561.9261636</v>
      </c>
      <c r="S27" s="24" t="n">
        <f aca="false">M27-MAX(0,M27-N27)*Inputs!$B$48</f>
        <v>6226408.78156159</v>
      </c>
      <c r="T27" s="24" t="n">
        <f aca="false">R27-S27</f>
        <v>10714153.1446021</v>
      </c>
      <c r="U27" s="16" t="n">
        <f aca="false">R27/(1+Inputs!$B$38)^A27</f>
        <v>5636643.27775186</v>
      </c>
      <c r="V27" s="16" t="n">
        <f aca="false">S27/(1+Inputs!$B$38)^A27</f>
        <v>2071716.70904969</v>
      </c>
    </row>
    <row r="29" customFormat="false" ht="15" hidden="false" customHeight="false" outlineLevel="0" collapsed="false">
      <c r="A29" s="7" t="s">
        <v>111</v>
      </c>
    </row>
    <row r="30" customFormat="false" ht="15" hidden="false" customHeight="false" outlineLevel="0" collapsed="false">
      <c r="A30" s="25" t="s">
        <v>112</v>
      </c>
    </row>
    <row r="31" customFormat="false" ht="15" hidden="false" customHeight="false" outlineLevel="0" collapsed="false">
      <c r="A31" s="25" t="s">
        <v>113</v>
      </c>
    </row>
    <row r="32" customFormat="false" ht="15" hidden="false" customHeight="false" outlineLevel="0" collapsed="false">
      <c r="A32" s="25" t="s">
        <v>114</v>
      </c>
    </row>
    <row r="33" customFormat="false" ht="15" hidden="false" customHeight="false" outlineLevel="0" collapsed="false">
      <c r="A33" s="25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2026-10-13T18:01:56Z</dcterms:created>
  <dc:creator>openpyxl</dc:creator>
  <dc:description/>
  <dc:language>en-US</dc:language>
  <cp:lastModifiedBy/>
  <dcterms:modified xsi:type="dcterms:W3CDTF">2026-10-13T18:02:00Z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